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 à saisir" sheetId="1" r:id="rId4"/>
    <sheet state="visible" name="Plan financier SUCCESS" sheetId="2" r:id="rId5"/>
    <sheet state="visible" name="Besoin" sheetId="3" r:id="rId6"/>
  </sheets>
  <definedNames/>
  <calcPr/>
  <extLst>
    <ext uri="GoogleSheetsCustomDataVersion2">
      <go:sheetsCustomData xmlns:go="http://customooxmlschemas.google.com/" r:id="rId7" roundtripDataChecksum="i3zsxgZ4BIEKDNhZ+u3szWJBuBqHUokOVvXIlteMMcg="/>
    </ext>
  </extLst>
</workbook>
</file>

<file path=xl/sharedStrings.xml><?xml version="1.0" encoding="utf-8"?>
<sst xmlns="http://schemas.openxmlformats.org/spreadsheetml/2006/main" count="392" uniqueCount="292">
  <si>
    <t>Saisissez dans cet onglet toutes les données de votre projet</t>
  </si>
  <si>
    <t>Le plan financier apparaitra dans l'onglet suivant</t>
  </si>
  <si>
    <t>Impôt sur le revenu</t>
  </si>
  <si>
    <t>Renseignez les cases Grises uniquement :</t>
  </si>
  <si>
    <t>Impôt sur les sociétés</t>
  </si>
  <si>
    <t>Votre prénom et nom :</t>
  </si>
  <si>
    <t>Gracy Omokoso</t>
  </si>
  <si>
    <t>Votre projet :</t>
  </si>
  <si>
    <t>Televerx</t>
  </si>
  <si>
    <t>Nom de votre projet ou description de votre activité</t>
  </si>
  <si>
    <t>Votre statut juridique :</t>
  </si>
  <si>
    <t>Par exemple : SARL, Entreprise individuelle…</t>
  </si>
  <si>
    <t>Votre numéro de téléphone :</t>
  </si>
  <si>
    <t>+243896120025</t>
  </si>
  <si>
    <t>Votre adresse e-mail :</t>
  </si>
  <si>
    <t>contact@caftret.com</t>
  </si>
  <si>
    <t>Votre ville ou commune d'activité :</t>
  </si>
  <si>
    <t>Kinshasa</t>
  </si>
  <si>
    <t>Votre devise :</t>
  </si>
  <si>
    <t>USD</t>
  </si>
  <si>
    <t>Par exemple : Euro, franc CFA…</t>
  </si>
  <si>
    <t>Taux d'impôt sur les sociétés :</t>
  </si>
  <si>
    <t>0</t>
  </si>
  <si>
    <r>
      <rPr>
        <rFont val="Century Gothic"/>
        <color theme="1"/>
        <sz val="10.0"/>
      </rPr>
      <t>Saisir obligatoirement un</t>
    </r>
    <r>
      <rPr>
        <rFont val="Century Gothic"/>
        <color rgb="FFFF0000"/>
        <sz val="10.0"/>
      </rPr>
      <t xml:space="preserve"> pourcentage</t>
    </r>
  </si>
  <si>
    <t>1) Vos besoins de démarrage :</t>
  </si>
  <si>
    <r>
      <rPr>
        <rFont val="Century Gothic"/>
        <color theme="1"/>
        <sz val="10.0"/>
      </rPr>
      <t xml:space="preserve">Listez toutes les dépenses ou investissements que vous devrez faire </t>
    </r>
    <r>
      <rPr>
        <rFont val="Century Gothic"/>
        <color theme="1"/>
        <sz val="10.0"/>
        <u/>
      </rPr>
      <t xml:space="preserve">avant même de démarrer l’activité, </t>
    </r>
    <r>
      <rPr>
        <rFont val="Century Gothic"/>
        <color rgb="FFFF0000"/>
        <sz val="10.0"/>
        <u/>
      </rPr>
      <t>en hors taxes (ou TTC si vous n'êtes pas soumis à la TVA)</t>
    </r>
  </si>
  <si>
    <t>Montant</t>
  </si>
  <si>
    <t xml:space="preserve">Frais d’établissement </t>
  </si>
  <si>
    <t>Ce sont les frais de création de l’entreprise (formalités)</t>
  </si>
  <si>
    <t>Frais d’ouverture de compteurs</t>
  </si>
  <si>
    <t>Compteurs d'eau, électricité, gaz…</t>
  </si>
  <si>
    <t>Logiciels, formations</t>
  </si>
  <si>
    <t>Dépôt marque, brevet, modèle</t>
  </si>
  <si>
    <t>Frais de dépôt ou d’enregistrement</t>
  </si>
  <si>
    <t>Droits d’entrée</t>
  </si>
  <si>
    <t>Par exemple pour intégrer un réseau de franchise</t>
  </si>
  <si>
    <t>Achat fonds de commerce ou parts</t>
  </si>
  <si>
    <t>Dans le cas d'une reprise</t>
  </si>
  <si>
    <t>Droit au bail</t>
  </si>
  <si>
    <t>Caution ou dépôt de garantie</t>
  </si>
  <si>
    <t>Frais de dossier</t>
  </si>
  <si>
    <t>Pour la signature de contrats de prêt</t>
  </si>
  <si>
    <t>Frais de notaire ou d’avocat</t>
  </si>
  <si>
    <t>Pour la signature des contrats et baux commerciaux</t>
  </si>
  <si>
    <t>Enseigne et éléments de communication</t>
  </si>
  <si>
    <t>Cartes de visite, brochures, logo, site internet, éléments graphiques</t>
  </si>
  <si>
    <t>Achat immobilier</t>
  </si>
  <si>
    <t>Acquisition d'immeuble</t>
  </si>
  <si>
    <t>Travaux et aménagements</t>
  </si>
  <si>
    <t>Pour l'aménagement du local</t>
  </si>
  <si>
    <t>Matériel</t>
  </si>
  <si>
    <t>Ordinateurs, Véhicule, Moto</t>
  </si>
  <si>
    <t>Matériel de bureau</t>
  </si>
  <si>
    <t>Fournitures, ordinateur, imprimante</t>
  </si>
  <si>
    <t>Stock de matières et produits</t>
  </si>
  <si>
    <t>Matières premières, produits finis ou semi-finis</t>
  </si>
  <si>
    <t>Trésorerie de départ</t>
  </si>
  <si>
    <t>Somme d’argent gardée en prévision du démarrage de l’activité pour financer le cycle d'exploitation</t>
  </si>
  <si>
    <t>TOTAL</t>
  </si>
  <si>
    <t xml:space="preserve">  Durée d'amortissement des investissements :</t>
  </si>
  <si>
    <r>
      <rPr>
        <rFont val="Century Gothic"/>
        <i/>
        <color theme="1"/>
        <sz val="10.0"/>
      </rPr>
      <t xml:space="preserve"> (</t>
    </r>
    <r>
      <rPr>
        <rFont val="Century Gothic"/>
        <b/>
        <i/>
        <color rgb="FFFF0000"/>
        <sz val="10.0"/>
        <u/>
      </rPr>
      <t>obligatoire</t>
    </r>
    <r>
      <rPr>
        <rFont val="Century Gothic"/>
        <i/>
        <color rgb="FFFF0000"/>
        <sz val="10.0"/>
      </rPr>
      <t xml:space="preserve"> ;</t>
    </r>
    <r>
      <rPr>
        <rFont val="Century Gothic"/>
        <i/>
        <color theme="1"/>
        <sz val="10.0"/>
      </rPr>
      <t xml:space="preserve"> durée de vie des acquisitions de départ, en années)</t>
    </r>
  </si>
  <si>
    <t>Montant à amortir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</si>
  <si>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</si>
  <si>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</si>
  <si>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</si>
  <si>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</si>
  <si>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</si>
  <si>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</si>
  <si>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</si>
  <si>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</si>
  <si>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</si>
  <si>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</si>
  <si>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2) Le financement de vos besoins de démarrage :</t>
  </si>
  <si>
    <t>Apport personnel ou familial</t>
  </si>
  <si>
    <t>Apports en nature (en valeur)</t>
  </si>
  <si>
    <t>(saisir taux)</t>
  </si>
  <si>
    <t>(saisir la durée en mois)</t>
  </si>
  <si>
    <t>Prêt n°1 (nom de la banque)</t>
  </si>
  <si>
    <t>Prêt n°2 (nom de la banque)</t>
  </si>
  <si>
    <t>Prêt n°3 (nom de la banque)</t>
  </si>
  <si>
    <t>Subvention n°1 (libellé)</t>
  </si>
  <si>
    <t>Subvention n°2 (libellé)</t>
  </si>
  <si>
    <t>Autre financement (libellé)</t>
  </si>
  <si>
    <t>Analyse linéaire</t>
  </si>
  <si>
    <t>mensualité</t>
  </si>
  <si>
    <t>total à rembourser</t>
  </si>
  <si>
    <t>principal mensuel</t>
  </si>
  <si>
    <t>Intérêt / mois</t>
  </si>
  <si>
    <t>Intérêts sur toute la durée</t>
  </si>
  <si>
    <t>Intérêts année 1</t>
  </si>
  <si>
    <t>Intérêts année 2</t>
  </si>
  <si>
    <t>Intérêts année 3</t>
  </si>
  <si>
    <t>Principal année 1</t>
  </si>
  <si>
    <t>Principal année 2</t>
  </si>
  <si>
    <t>Principal année 3</t>
  </si>
  <si>
    <t>Montant prêt n°1</t>
  </si>
  <si>
    <t>Montant prêt n°2</t>
  </si>
  <si>
    <t>Montant prêt n°3</t>
  </si>
  <si>
    <t>3) Vos charges fixes :</t>
  </si>
  <si>
    <r>
      <rPr>
        <rFont val="Century Gothic"/>
        <i/>
        <color theme="1"/>
        <sz val="10.0"/>
      </rPr>
      <t xml:space="preserve">Listez vos charges courantes récurrentes, </t>
    </r>
    <r>
      <rPr>
        <rFont val="Century Gothic"/>
        <i/>
        <color rgb="FFFF0000"/>
        <sz val="10.0"/>
        <u/>
      </rPr>
      <t>en hors taxe (ou TTC si vous n'êtes pas soumis à la TVA).</t>
    </r>
  </si>
  <si>
    <t>Montant année 1</t>
  </si>
  <si>
    <t>Montant année 2</t>
  </si>
  <si>
    <t>Montant année 3</t>
  </si>
  <si>
    <t>Assurances</t>
  </si>
  <si>
    <t>Téléphone, internet</t>
  </si>
  <si>
    <t>Autres abonnements</t>
  </si>
  <si>
    <t>Carburant</t>
  </si>
  <si>
    <t>Frais de déplacement et hébergement</t>
  </si>
  <si>
    <t>Eau, électricité, gaz</t>
  </si>
  <si>
    <t>Mutuelle</t>
  </si>
  <si>
    <t>Fournitures diverses</t>
  </si>
  <si>
    <t>Entretien matériel et vêtements</t>
  </si>
  <si>
    <t>Nettoyage des locaux</t>
  </si>
  <si>
    <t>Budget publicité et communication</t>
  </si>
  <si>
    <t>Loyer et charges locatives</t>
  </si>
  <si>
    <t>Expert comptable, avocats</t>
  </si>
  <si>
    <t>Frais bancaires et terminal carte bleue</t>
  </si>
  <si>
    <t>Taxes, impôts locaux</t>
  </si>
  <si>
    <t>Autres charges (inscrire libellé ci-dessous) :</t>
  </si>
  <si>
    <t>Libellé autre charge 1 (supprimer si inutile)</t>
  </si>
  <si>
    <t>Libellé autre charge 2 (supprimer si inutile)</t>
  </si>
  <si>
    <t>Libellé autre charge 3 (supprimer si inutile)</t>
  </si>
  <si>
    <t>4) Votre chiffre d'affaires de la première année :</t>
  </si>
  <si>
    <r>
      <rPr>
        <rFont val="Century Gothic"/>
        <i/>
        <color theme="1"/>
        <sz val="10.0"/>
      </rPr>
      <t>Prévoyez ici le chiffre d'affaires de votre activité (</t>
    </r>
    <r>
      <rPr>
        <rFont val="Century Gothic"/>
        <i/>
        <color rgb="FFFF0000"/>
        <sz val="10.0"/>
        <u/>
      </rPr>
      <t>hors taxes</t>
    </r>
    <r>
      <rPr>
        <rFont val="Century Gothic"/>
        <i/>
        <color theme="1"/>
        <sz val="10.0"/>
      </rPr>
      <t>).</t>
    </r>
  </si>
  <si>
    <r>
      <rPr>
        <rFont val="Century Gothic"/>
        <b/>
        <color theme="1"/>
        <sz val="10.0"/>
      </rPr>
      <t xml:space="preserve">Année 1 - </t>
    </r>
    <r>
      <rPr>
        <rFont val="Century Gothic"/>
        <b/>
        <color rgb="FFFF0000"/>
        <sz val="10.0"/>
        <u/>
      </rPr>
      <t>Vente de marchandises</t>
    </r>
  </si>
  <si>
    <t>Nombre de jours travaillés</t>
  </si>
  <si>
    <t>Chiffre d'affaires moyen / jour</t>
  </si>
  <si>
    <t>Chiffre d'affaires mensuel</t>
  </si>
  <si>
    <r>
      <rPr>
        <rFont val="Century Gothic"/>
        <b/>
        <color theme="1"/>
        <sz val="10.0"/>
      </rPr>
      <t xml:space="preserve">Année 1 - </t>
    </r>
    <r>
      <rPr>
        <rFont val="Century Gothic"/>
        <b/>
        <color rgb="FFFF0000"/>
        <sz val="10.0"/>
        <u/>
      </rPr>
      <t>Services</t>
    </r>
  </si>
  <si>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</si>
  <si>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</si>
  <si>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</si>
  <si>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</si>
  <si>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</si>
  <si>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</si>
  <si>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</si>
  <si>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</si>
  <si>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</si>
  <si>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</si>
  <si>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</si>
  <si>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</si>
  <si>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 xml:space="preserve">  Pourcentage d'augmentation du chiffre d'affaire entre l'année 1 et l'année 2 :</t>
  </si>
  <si>
    <t>% d'augmentation du chiffre d'affaire entre l'année 1 et l'année 2 :</t>
  </si>
  <si>
    <t xml:space="preserve">  Pourcentage d'augmentation du chiffre d'affaire entre l'année 2 et l'année 3 :</t>
  </si>
  <si>
    <t>% d'augmentation du chiffre d'affaire entre l'année 2 et l'année 3 :</t>
  </si>
  <si>
    <t>5) Vos charges variables :</t>
  </si>
  <si>
    <t>Les charges variables sont liées au niveau d’activité ou à la production. Il s’agit des achats de marchandises destinées à être revendues, des achats de matières destinées à être transformées, des commissions versées à des agents commerciaux…</t>
  </si>
  <si>
    <t>Quel est, en % du prix de vente, le coût d'achat de vos marchandises ?</t>
  </si>
  <si>
    <t xml:space="preserve"> (concerne uniquement le chiffre d'affaires vente de marchandises)</t>
  </si>
  <si>
    <t>6) Votre besoin en fonds de roulement :</t>
  </si>
  <si>
    <r>
      <rPr>
        <rFont val="Century Gothic"/>
        <color theme="1"/>
        <sz val="10.0"/>
      </rPr>
      <t xml:space="preserve">Durée moyenne des crédits accordés aux clients </t>
    </r>
    <r>
      <rPr>
        <rFont val="Century Gothic"/>
        <b/>
        <color theme="1"/>
        <sz val="10.0"/>
      </rPr>
      <t>en jours</t>
    </r>
  </si>
  <si>
    <t xml:space="preserve"> (temps qu'un client met pour vous payer)</t>
  </si>
  <si>
    <r>
      <rPr>
        <rFont val="Century Gothic"/>
        <color theme="1"/>
        <sz val="10.0"/>
      </rPr>
      <t xml:space="preserve">Durée moyenne des dettes fournisseurs </t>
    </r>
    <r>
      <rPr>
        <rFont val="Century Gothic"/>
        <b/>
        <color theme="1"/>
        <sz val="10.0"/>
      </rPr>
      <t>en jours</t>
    </r>
  </si>
  <si>
    <t xml:space="preserve"> (temps que vous mettez pour payer un fournisseur)</t>
  </si>
  <si>
    <t>7) Salaires employés et rémunération chef d'entreprise</t>
  </si>
  <si>
    <r>
      <rPr>
        <rFont val="Century Gothic"/>
        <color theme="1"/>
        <sz val="10.0"/>
      </rPr>
      <t xml:space="preserve">Salaires employés </t>
    </r>
    <r>
      <rPr>
        <rFont val="Century Gothic"/>
        <b/>
        <color theme="1"/>
        <sz val="10.0"/>
      </rPr>
      <t>(net)</t>
    </r>
  </si>
  <si>
    <r>
      <rPr>
        <rFont val="Century Gothic"/>
        <i/>
        <color theme="1"/>
        <sz val="10.0"/>
      </rPr>
      <t xml:space="preserve">  (saisir des chiffres </t>
    </r>
    <r>
      <rPr>
        <rFont val="Century Gothic"/>
        <i/>
        <color theme="1"/>
        <sz val="10.0"/>
        <u/>
      </rPr>
      <t>annuels</t>
    </r>
    <r>
      <rPr>
        <rFont val="Century Gothic"/>
        <i/>
        <color theme="1"/>
        <sz val="10.0"/>
      </rPr>
      <t>)</t>
    </r>
  </si>
  <si>
    <t>Cotisations sociales employés</t>
  </si>
  <si>
    <r>
      <rPr>
        <rFont val="Century Gothic"/>
        <i/>
        <color theme="1"/>
        <sz val="10.0"/>
      </rPr>
      <t xml:space="preserve">  (saisir des chiffres </t>
    </r>
    <r>
      <rPr>
        <rFont val="Century Gothic"/>
        <i/>
        <color theme="1"/>
        <sz val="10.0"/>
        <u/>
      </rPr>
      <t>annuels</t>
    </r>
    <r>
      <rPr>
        <rFont val="Century Gothic"/>
        <i/>
        <color theme="1"/>
        <sz val="10.0"/>
      </rPr>
      <t>)</t>
    </r>
  </si>
  <si>
    <r>
      <rPr>
        <rFont val="Century Gothic"/>
        <color theme="1"/>
        <sz val="10.0"/>
      </rPr>
      <t xml:space="preserve">Rémunération </t>
    </r>
    <r>
      <rPr>
        <rFont val="Century Gothic"/>
        <b/>
        <color theme="1"/>
        <sz val="10.0"/>
      </rPr>
      <t>nette</t>
    </r>
    <r>
      <rPr>
        <rFont val="Century Gothic"/>
        <color theme="1"/>
        <sz val="10.0"/>
      </rPr>
      <t xml:space="preserve"> dirigeant(s)</t>
    </r>
  </si>
  <si>
    <r>
      <rPr>
        <rFont val="Century Gothic"/>
        <i/>
        <color theme="1"/>
        <sz val="10.0"/>
      </rPr>
      <t xml:space="preserve">  (saisir des chiffres </t>
    </r>
    <r>
      <rPr>
        <rFont val="Century Gothic"/>
        <i/>
        <color theme="1"/>
        <sz val="10.0"/>
        <u/>
      </rPr>
      <t>annuels</t>
    </r>
    <r>
      <rPr>
        <rFont val="Century Gothic"/>
        <i/>
        <color theme="1"/>
        <sz val="10.0"/>
      </rPr>
      <t>)</t>
    </r>
  </si>
  <si>
    <t>Cotisations sociales dirigeant(s)</t>
  </si>
  <si>
    <r>
      <rPr>
        <rFont val="Century Gothic"/>
        <i/>
        <color theme="1"/>
        <sz val="10.0"/>
      </rPr>
      <t xml:space="preserve">  (saisir des chiffres </t>
    </r>
    <r>
      <rPr>
        <rFont val="Century Gothic"/>
        <i/>
        <color theme="1"/>
        <sz val="10.0"/>
        <u/>
      </rPr>
      <t>annuels</t>
    </r>
    <r>
      <rPr>
        <rFont val="Century Gothic"/>
        <i/>
        <color theme="1"/>
        <sz val="10.0"/>
      </rPr>
      <t>)</t>
    </r>
  </si>
  <si>
    <t>8) Contrôle de votre seuil de rentabilité :</t>
  </si>
  <si>
    <t>1ère année</t>
  </si>
  <si>
    <t>D'après les éléments que vous avez indiqués, votre projet est :</t>
  </si>
  <si>
    <t>9) Contrôle du niveau de votre trésorerie de départ :</t>
  </si>
  <si>
    <t>D'après les éléments que vous avez indiqués, votre trésorerie de départ est :</t>
  </si>
  <si>
    <t xml:space="preserve">                         cv               </t>
  </si>
  <si>
    <t>Investissements et financements</t>
  </si>
  <si>
    <t>Salaires et charges sociales</t>
  </si>
  <si>
    <t>Compte de résultats prévisionnel sur 3 ans</t>
  </si>
  <si>
    <t>Soldes intermédiaires de gestion</t>
  </si>
  <si>
    <t>Seuil de rentabilité économique</t>
  </si>
  <si>
    <t>Plan de financement à trois ans</t>
  </si>
  <si>
    <t>Budget prévisionnel de trésorerie</t>
  </si>
  <si>
    <t>Budget prévisionnel de trésorerie (suite)</t>
  </si>
  <si>
    <t>Projet :</t>
  </si>
  <si>
    <t>Hors TVA</t>
  </si>
  <si>
    <t>Porteur de projet :</t>
  </si>
  <si>
    <t xml:space="preserve"> INVESTISSEMENTS</t>
  </si>
  <si>
    <t>Montant hors taxes</t>
  </si>
  <si>
    <t>Statut juridique :</t>
  </si>
  <si>
    <t xml:space="preserve"> Produits d'exploitation</t>
  </si>
  <si>
    <t>Chiffre d'affaires HT vente de marchandises</t>
  </si>
  <si>
    <t>%</t>
  </si>
  <si>
    <t xml:space="preserve"> Ventes + Production réelle</t>
  </si>
  <si>
    <t>Première année</t>
  </si>
  <si>
    <t>Immobilisations incorporelles</t>
  </si>
  <si>
    <t>Chiffre d'affaires HT services</t>
  </si>
  <si>
    <t>Achats consommés</t>
  </si>
  <si>
    <t xml:space="preserve"> Charges d'exploitation</t>
  </si>
  <si>
    <t>Chiffre d'affaires</t>
  </si>
  <si>
    <t>Total des coûts variables</t>
  </si>
  <si>
    <t>Etude financière 
prévisionnelle sur 3 ans</t>
  </si>
  <si>
    <t>Ventes + production réelle</t>
  </si>
  <si>
    <t>Marge sur coûts variables</t>
  </si>
  <si>
    <t xml:space="preserve">   Immobilisations</t>
  </si>
  <si>
    <t>Rémunération du (des) dirigeants</t>
  </si>
  <si>
    <t xml:space="preserve"> Taux de marge sur coûts variables</t>
  </si>
  <si>
    <t>Acquisition des stocks</t>
  </si>
  <si>
    <t>Apport personnel</t>
  </si>
  <si>
    <t>% augmentation</t>
  </si>
  <si>
    <t xml:space="preserve"> Marge brute</t>
  </si>
  <si>
    <t xml:space="preserve"> Marge globale</t>
  </si>
  <si>
    <t>Coûts fixes</t>
  </si>
  <si>
    <t>Variation du Besoin en fonds de roulement</t>
  </si>
  <si>
    <t>Emprunts</t>
  </si>
  <si>
    <t xml:space="preserve"> Charges sociales du (des) dirigeant(s)</t>
  </si>
  <si>
    <t xml:space="preserve"> Charges externes</t>
  </si>
  <si>
    <t>Charges externes</t>
  </si>
  <si>
    <t xml:space="preserve"> Total des charges</t>
  </si>
  <si>
    <t>Remboursement d'emprunts</t>
  </si>
  <si>
    <t>Subventions</t>
  </si>
  <si>
    <t xml:space="preserve"> Valeur ajoutée</t>
  </si>
  <si>
    <t>Résultat courant avant impôts</t>
  </si>
  <si>
    <t xml:space="preserve"> Total des besoins</t>
  </si>
  <si>
    <t>Autres financements</t>
  </si>
  <si>
    <t>Salaires des employés</t>
  </si>
  <si>
    <t>Impôts et taxes</t>
  </si>
  <si>
    <t xml:space="preserve"> Seuil de rentabilité (chiffre d'affaires)</t>
  </si>
  <si>
    <t>Vente de marchandises</t>
  </si>
  <si>
    <t>Charges de personnel</t>
  </si>
  <si>
    <t>Excédent / insuffisance</t>
  </si>
  <si>
    <t>Vente de services</t>
  </si>
  <si>
    <t xml:space="preserve"> Charges sociales employés</t>
  </si>
  <si>
    <t xml:space="preserve"> Excédent brut d'exploitation</t>
  </si>
  <si>
    <t>Point mort en chiffre d'affaires par jour ouvré</t>
  </si>
  <si>
    <t>Chiffre d'affaires (total)</t>
  </si>
  <si>
    <t>Dotation aux amortissements</t>
  </si>
  <si>
    <t>Immobilisations corporelles</t>
  </si>
  <si>
    <t xml:space="preserve"> Résultat d'exploitation</t>
  </si>
  <si>
    <t>Capacité d'auto-financement</t>
  </si>
  <si>
    <t>Charges financières</t>
  </si>
  <si>
    <t xml:space="preserve"> Total des ressources</t>
  </si>
  <si>
    <t>Immobilisations (total)</t>
  </si>
  <si>
    <t>Détail des amortissements</t>
  </si>
  <si>
    <t>Résultat financier</t>
  </si>
  <si>
    <t>Variation de trésorerie</t>
  </si>
  <si>
    <t xml:space="preserve"> Résultat courant</t>
  </si>
  <si>
    <t>Solde de trésorerie</t>
  </si>
  <si>
    <t>Échéances emprunt</t>
  </si>
  <si>
    <t xml:space="preserve"> Résultat de l'exercice</t>
  </si>
  <si>
    <t>Achats de marchandises</t>
  </si>
  <si>
    <t>Capacité d'autofinancement</t>
  </si>
  <si>
    <t>Rappel trésorerie début année 1 :</t>
  </si>
  <si>
    <t>Besoin en fonds de roulement</t>
  </si>
  <si>
    <t>Amortissements incorporels</t>
  </si>
  <si>
    <t>TOTAL BESOINS</t>
  </si>
  <si>
    <t>Analyse clients / fournisseurs :</t>
  </si>
  <si>
    <t xml:space="preserve"> FINANCEMENT DES INVESTISSEMENTS</t>
  </si>
  <si>
    <t>délai jours</t>
  </si>
  <si>
    <t>Total charges de personnel</t>
  </si>
  <si>
    <t xml:space="preserve"> Besoins</t>
  </si>
  <si>
    <t>Volume crédit client HT</t>
  </si>
  <si>
    <t>Total des décaissements</t>
  </si>
  <si>
    <t xml:space="preserve">Apport personnel </t>
  </si>
  <si>
    <t>Salaires employés</t>
  </si>
  <si>
    <t xml:space="preserve"> Ressources</t>
  </si>
  <si>
    <t>Total des encaissements</t>
  </si>
  <si>
    <t>Charges sociales employés</t>
  </si>
  <si>
    <t>Volume dettes fournisseurs HT</t>
  </si>
  <si>
    <t>Solde précédent</t>
  </si>
  <si>
    <t>Prélèvement dirigeant(s)</t>
  </si>
  <si>
    <t xml:space="preserve"> Besoin en fonds de roulement</t>
  </si>
  <si>
    <t>Solde du mois</t>
  </si>
  <si>
    <t>Emprunt</t>
  </si>
  <si>
    <t>taux</t>
  </si>
  <si>
    <t>durée mois</t>
  </si>
  <si>
    <t>Amortissements corporels</t>
  </si>
  <si>
    <t>Charges sociales dirigeant(s)</t>
  </si>
  <si>
    <t>Solde de trésorerie (cumul)</t>
  </si>
  <si>
    <t>Frais bancaires, charges financières</t>
  </si>
  <si>
    <t>Dotations aux amortissements</t>
  </si>
  <si>
    <t xml:space="preserve"> + Dotation aux amortissements</t>
  </si>
  <si>
    <t xml:space="preserve"> Résultat avant impôts</t>
  </si>
  <si>
    <t xml:space="preserve"> - Remboursement des emprunts</t>
  </si>
  <si>
    <t>Autofinancement net</t>
  </si>
  <si>
    <t xml:space="preserve"> Résultat net comptable (résultat de l'exercice)</t>
  </si>
  <si>
    <t>TOTAL RESSOURCES</t>
  </si>
  <si>
    <t>Total amortissements</t>
  </si>
  <si>
    <t>Chiffre à prendre en compte pour le calcul RSI EI</t>
  </si>
  <si>
    <t>Designation</t>
  </si>
  <si>
    <t>Qte</t>
  </si>
  <si>
    <t>PU</t>
  </si>
  <si>
    <t>PT</t>
  </si>
  <si>
    <t>Immobilier</t>
  </si>
  <si>
    <t>Location bureau</t>
  </si>
  <si>
    <t>Ordianteur</t>
  </si>
  <si>
    <t>Imprimante</t>
  </si>
  <si>
    <t>Formalisation</t>
  </si>
  <si>
    <t>Produits et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</si>
</sst>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\ _€_-;\-* #,##0.00\ _€_-;_-* &quot;-&quot;??\ _€_-;_-@"/>
    <numFmt numFmtId="165" formatCode="#,##0.00\ &quot;€&quot;;[Red]\-#,##0.00\ &quot;€&quot;"/>
    <numFmt numFmtId="166" formatCode="0#&quot; &quot;##&quot; &quot;##&quot; &quot;##&quot; &quot;##"/>
  </numFmts>
  <fonts count="49">
    <font>
      <sz val="11.0"/>
      <color theme="1"/>
      <name val="Calibri"/>
      <scheme val="minor"/>
    </font>
    <font>
      <b/>
      <sz val="10.0"/>
      <color theme="1"/>
      <name val="Century Gothic"/>
    </font>
    <font>
      <sz val="10.0"/>
      <color theme="1"/>
      <name val="Century Gothic"/>
    </font>
    <font>
      <sz val="10.0"/>
      <color rgb="FF0B5394"/>
      <name val="Century Gothic"/>
    </font>
    <font>
      <b/>
      <u/>
      <sz val="10.0"/>
      <color theme="10"/>
      <name val="Century Gothic"/>
    </font>
    <font>
      <b/>
      <sz val="10.0"/>
      <color rgb="FF000000"/>
      <name val="Century Gothic"/>
    </font>
    <font/>
    <font>
      <i/>
      <sz val="10.0"/>
      <color theme="1"/>
      <name val="Century Gothic"/>
    </font>
    <font>
      <sz val="10.0"/>
      <color rgb="FF000000"/>
      <name val="Century Gothic"/>
    </font>
    <font>
      <u/>
      <sz val="10.0"/>
      <color rgb="FF000000"/>
      <name val="Century Gothic"/>
    </font>
    <font>
      <b/>
      <sz val="10.0"/>
      <color rgb="FF0000FF"/>
      <name val="Century Gothic"/>
    </font>
    <font>
      <b/>
      <i/>
      <sz val="10.0"/>
      <color theme="1"/>
      <name val="Century Gothic"/>
    </font>
    <font>
      <i/>
      <sz val="10.0"/>
      <color rgb="FFFF0000"/>
      <name val="Century Gothic"/>
    </font>
    <font>
      <sz val="10.0"/>
      <color theme="10"/>
      <name val="Century Gothic"/>
    </font>
    <font>
      <b/>
      <i/>
      <u/>
      <sz val="10.0"/>
      <color rgb="FFFF0000"/>
      <name val="Century Gothic"/>
    </font>
    <font>
      <b/>
      <i/>
      <sz val="10.0"/>
      <color rgb="FFFF0000"/>
      <name val="Century Gothic"/>
    </font>
    <font>
      <b/>
      <sz val="10.0"/>
      <color rgb="FF974806"/>
      <name val="Century Gothic"/>
    </font>
    <font>
      <b/>
      <sz val="10.0"/>
      <color theme="0"/>
      <name val="Century Gothic"/>
    </font>
    <font>
      <color theme="1"/>
      <name val="Century Gothic"/>
    </font>
    <font>
      <b/>
      <sz val="9.0"/>
      <color theme="1"/>
      <name val="Century Gothic"/>
    </font>
    <font>
      <b/>
      <u/>
      <sz val="10.0"/>
      <color theme="0"/>
      <name val="Century Gothic"/>
    </font>
    <font>
      <b/>
      <i/>
      <sz val="10.0"/>
      <color rgb="FFC00000"/>
      <name val="Century Gothic"/>
    </font>
    <font>
      <sz val="10.0"/>
      <color rgb="FFC00000"/>
      <name val="Century Gothic"/>
    </font>
    <font>
      <b/>
      <u/>
      <sz val="10.0"/>
      <color theme="0"/>
      <name val="Century Gothic"/>
    </font>
    <font>
      <b/>
      <i/>
      <sz val="10.0"/>
      <color rgb="FF76923C"/>
      <name val="Century Gothic"/>
    </font>
    <font>
      <sz val="11.0"/>
      <color theme="1"/>
      <name val="Century Gothic"/>
    </font>
    <font>
      <b/>
      <sz val="20.0"/>
      <color theme="1"/>
      <name val="Century Gothic"/>
    </font>
    <font>
      <b/>
      <sz val="11.0"/>
      <color theme="1"/>
      <name val="Century Gothic"/>
    </font>
    <font>
      <b/>
      <sz val="18.0"/>
      <color theme="1"/>
      <name val="Century Gothic"/>
    </font>
    <font>
      <i/>
      <sz val="11.0"/>
      <color theme="1"/>
      <name val="Century Gothic"/>
    </font>
    <font>
      <b/>
      <i/>
      <sz val="11.0"/>
      <color theme="1"/>
      <name val="Century Gothic"/>
    </font>
    <font>
      <sz val="9.0"/>
      <color theme="1"/>
      <name val="Century Gothic"/>
    </font>
    <font>
      <i/>
      <u/>
      <sz val="9.0"/>
      <color rgb="FF1155CC"/>
      <name val="Century Gothic"/>
    </font>
    <font>
      <i/>
      <sz val="9.0"/>
      <color theme="1"/>
      <name val="Century Gothic"/>
    </font>
    <font>
      <b/>
      <i/>
      <sz val="14.0"/>
      <color theme="1"/>
      <name val="Century Gothic"/>
    </font>
    <font>
      <b/>
      <sz val="34.0"/>
      <color theme="1"/>
      <name val="Century Gothic"/>
    </font>
    <font>
      <b/>
      <sz val="26.0"/>
      <color theme="1"/>
      <name val="Century Gothic"/>
    </font>
    <font>
      <b/>
      <sz val="16.0"/>
      <color theme="1"/>
      <name val="Century Gothic"/>
    </font>
    <font>
      <b/>
      <sz val="14.0"/>
      <color theme="1"/>
      <name val="Century Gothic"/>
    </font>
    <font>
      <b/>
      <sz val="24.0"/>
      <color rgb="FF1155CC"/>
      <name val="Century Gothic"/>
    </font>
    <font>
      <sz val="12.0"/>
      <color theme="1"/>
      <name val="Century Gothic"/>
    </font>
    <font>
      <b/>
      <i/>
      <sz val="16.0"/>
      <color theme="1"/>
      <name val="Century Gothic"/>
    </font>
    <font>
      <b/>
      <i/>
      <sz val="9.0"/>
      <color theme="1"/>
      <name val="Century Gothic"/>
    </font>
    <font>
      <sz val="9.0"/>
      <color theme="0"/>
      <name val="Century Gothic"/>
    </font>
    <font>
      <sz val="11.0"/>
      <color theme="0"/>
      <name val="Century Gothic"/>
    </font>
    <font>
      <b/>
      <sz val="9.0"/>
      <color theme="0"/>
      <name val="Century Gothic"/>
    </font>
    <font>
      <b/>
      <sz val="12.0"/>
      <color theme="1"/>
      <name val="Century Gothic"/>
    </font>
    <font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84">
    <border/>
    <border>
      <left/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dotted">
        <color rgb="FF000000"/>
      </left>
      <right style="dotted">
        <color rgb="FF000000"/>
      </right>
      <top/>
      <bottom/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dotted">
        <color rgb="FF000000"/>
      </left>
      <right style="dotted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/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dotted">
        <color rgb="FF000000"/>
      </left>
      <right style="dotted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dotted">
        <color rgb="FF000000"/>
      </left>
      <right/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dotted">
        <color rgb="FF000000"/>
      </left>
      <right style="dotted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dotted">
        <color rgb="FF000000"/>
      </left>
      <right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dotted">
        <color rgb="FF000000"/>
      </right>
    </border>
    <border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0" fontId="5" numFmtId="0" xfId="0" applyFont="1"/>
    <xf borderId="1" fillId="2" fontId="2" numFmtId="0" xfId="0" applyAlignment="1" applyBorder="1" applyFill="1" applyFont="1">
      <alignment horizontal="left" readingOrder="0"/>
    </xf>
    <xf borderId="2" fillId="0" fontId="6" numFmtId="0" xfId="0" applyBorder="1" applyFont="1"/>
    <xf borderId="0" fillId="0" fontId="7" numFmtId="0" xfId="0" applyAlignment="1" applyFont="1">
      <alignment horizontal="left"/>
    </xf>
    <xf borderId="1" fillId="2" fontId="2" numFmtId="0" xfId="0" applyAlignment="1" applyBorder="1" applyFont="1">
      <alignment horizontal="left"/>
    </xf>
    <xf quotePrefix="1" borderId="1" fillId="2" fontId="8" numFmtId="0" xfId="0" applyAlignment="1" applyBorder="1" applyFont="1">
      <alignment horizontal="left" readingOrder="0"/>
    </xf>
    <xf borderId="1" fillId="2" fontId="9" numFmtId="0" xfId="0" applyAlignment="1" applyBorder="1" applyFont="1">
      <alignment horizontal="left" readingOrder="0"/>
    </xf>
    <xf borderId="0" fillId="0" fontId="10" numFmtId="0" xfId="0" applyAlignment="1" applyFont="1">
      <alignment shrinkToFit="0" vertical="center" wrapText="1"/>
    </xf>
    <xf borderId="1" fillId="2" fontId="2" numFmtId="49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3" fillId="3" fontId="2" numFmtId="49" xfId="0" applyAlignment="1" applyBorder="1" applyFill="1" applyFont="1" applyNumberFormat="1">
      <alignment horizontal="left"/>
    </xf>
    <xf borderId="0" fillId="0" fontId="11" numFmtId="0" xfId="0" applyAlignment="1" applyFont="1">
      <alignment horizontal="center"/>
    </xf>
    <xf borderId="3" fillId="2" fontId="2" numFmtId="164" xfId="0" applyAlignment="1" applyBorder="1" applyFont="1" applyNumberFormat="1">
      <alignment readingOrder="0"/>
    </xf>
    <xf borderId="3" fillId="2" fontId="2" numFmtId="164" xfId="0" applyBorder="1" applyFont="1" applyNumberFormat="1"/>
    <xf borderId="0" fillId="0" fontId="7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4" fillId="0" fontId="1" numFmtId="164" xfId="0" applyBorder="1" applyFont="1" applyNumberFormat="1"/>
    <xf borderId="0" fillId="0" fontId="12" numFmtId="0" xfId="0" applyAlignment="1" applyFont="1">
      <alignment horizontal="left"/>
    </xf>
    <xf borderId="3" fillId="2" fontId="2" numFmtId="1" xfId="0" applyAlignment="1" applyBorder="1" applyFont="1" applyNumberFormat="1">
      <alignment horizontal="center"/>
    </xf>
    <xf borderId="0" fillId="0" fontId="7" numFmtId="0" xfId="0" applyFont="1"/>
    <xf borderId="0" fillId="0" fontId="1" numFmtId="0" xfId="0" applyAlignment="1" applyFont="1">
      <alignment horizontal="left"/>
    </xf>
    <xf borderId="5" fillId="0" fontId="1" numFmtId="164" xfId="0" applyAlignment="1" applyBorder="1" applyFont="1" applyNumberFormat="1">
      <alignment horizontal="left"/>
    </xf>
    <xf borderId="6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left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left"/>
    </xf>
    <xf borderId="3" fillId="2" fontId="2" numFmtId="0" xfId="0" applyAlignment="1" applyBorder="1" applyFont="1">
      <alignment horizontal="left"/>
    </xf>
    <xf borderId="8" fillId="2" fontId="7" numFmtId="10" xfId="0" applyAlignment="1" applyBorder="1" applyFont="1" applyNumberFormat="1">
      <alignment horizontal="left"/>
    </xf>
    <xf borderId="8" fillId="2" fontId="7" numFmtId="0" xfId="0" applyAlignment="1" applyBorder="1" applyFont="1">
      <alignment horizontal="center"/>
    </xf>
    <xf borderId="0" fillId="0" fontId="2" numFmtId="13" xfId="0" applyFont="1" applyNumberFormat="1"/>
    <xf borderId="0" fillId="0" fontId="2" numFmtId="164" xfId="0" applyFont="1" applyNumberFormat="1"/>
    <xf borderId="0" fillId="0" fontId="15" numFmtId="0" xfId="0" applyAlignment="1" applyFont="1">
      <alignment horizontal="left"/>
    </xf>
    <xf borderId="0" fillId="0" fontId="1" numFmtId="164" xfId="0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1" numFmtId="165" xfId="0" applyAlignment="1" applyFont="1" applyNumberFormat="1">
      <alignment horizontal="right"/>
    </xf>
    <xf borderId="0" fillId="0" fontId="1" numFmtId="165" xfId="0" applyFont="1" applyNumberFormat="1"/>
    <xf borderId="0" fillId="0" fontId="2" numFmtId="2" xfId="0" applyFont="1" applyNumberFormat="1"/>
    <xf borderId="0" fillId="0" fontId="16" numFmtId="0" xfId="0" applyFont="1"/>
    <xf borderId="0" fillId="0" fontId="17" numFmtId="2" xfId="0" applyFont="1" applyNumberFormat="1"/>
    <xf borderId="0" fillId="0" fontId="1" numFmtId="2" xfId="0" applyFont="1" applyNumberFormat="1"/>
    <xf borderId="0" fillId="0" fontId="11" numFmtId="0" xfId="0" applyAlignment="1" applyFont="1">
      <alignment horizontal="right"/>
    </xf>
    <xf borderId="9" fillId="2" fontId="2" numFmtId="164" xfId="0" applyBorder="1" applyFont="1" applyNumberFormat="1"/>
    <xf borderId="10" fillId="2" fontId="2" numFmtId="164" xfId="0" applyBorder="1" applyFont="1" applyNumberFormat="1"/>
    <xf borderId="8" fillId="2" fontId="2" numFmtId="164" xfId="0" applyBorder="1" applyFont="1" applyNumberFormat="1"/>
    <xf borderId="0" fillId="0" fontId="18" numFmtId="0" xfId="0" applyFont="1"/>
    <xf borderId="9" fillId="2" fontId="2" numFmtId="164" xfId="0" applyAlignment="1" applyBorder="1" applyFont="1" applyNumberFormat="1">
      <alignment readingOrder="0"/>
    </xf>
    <xf borderId="9" fillId="2" fontId="2" numFmtId="164" xfId="0" applyAlignment="1" applyBorder="1" applyFont="1" applyNumberFormat="1">
      <alignment horizontal="left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shrinkToFit="0" vertical="center" wrapText="1"/>
    </xf>
    <xf borderId="0" fillId="0" fontId="19" numFmtId="0" xfId="0" applyAlignment="1" applyFont="1">
      <alignment horizontal="right" shrinkToFit="0" vertical="center" wrapText="1"/>
    </xf>
    <xf borderId="11" fillId="0" fontId="1" numFmtId="0" xfId="0" applyAlignment="1" applyBorder="1" applyFont="1">
      <alignment horizontal="center" vertical="center"/>
    </xf>
    <xf borderId="0" fillId="0" fontId="2" numFmtId="17" xfId="0" applyAlignment="1" applyFont="1" applyNumberFormat="1">
      <alignment horizontal="left"/>
    </xf>
    <xf borderId="3" fillId="2" fontId="2" numFmtId="0" xfId="0" applyAlignment="1" applyBorder="1" applyFont="1">
      <alignment readingOrder="0"/>
    </xf>
    <xf borderId="11" fillId="0" fontId="2" numFmtId="17" xfId="0" applyAlignment="1" applyBorder="1" applyFont="1" applyNumberFormat="1">
      <alignment horizontal="left"/>
    </xf>
    <xf borderId="3" fillId="2" fontId="2" numFmtId="0" xfId="0" applyBorder="1" applyFont="1"/>
    <xf borderId="11" fillId="0" fontId="1" numFmtId="0" xfId="0" applyAlignment="1" applyBorder="1" applyFont="1">
      <alignment horizontal="left"/>
    </xf>
    <xf borderId="11" fillId="0" fontId="2" numFmtId="0" xfId="0" applyBorder="1" applyFont="1"/>
    <xf borderId="3" fillId="2" fontId="2" numFmtId="9" xfId="0" applyAlignment="1" applyBorder="1" applyFont="1" applyNumberFormat="1">
      <alignment horizontal="center" readingOrder="0"/>
    </xf>
    <xf borderId="3" fillId="2" fontId="2" numFmtId="9" xfId="0" applyAlignment="1" applyBorder="1" applyFont="1" applyNumberFormat="1">
      <alignment horizontal="center"/>
    </xf>
    <xf borderId="0" fillId="0" fontId="7" numFmtId="0" xfId="0" applyAlignment="1" applyFont="1">
      <alignment horizontal="left" shrinkToFit="0" wrapText="1"/>
    </xf>
    <xf borderId="12" fillId="2" fontId="2" numFmtId="9" xfId="0" applyAlignment="1" applyBorder="1" applyFont="1" applyNumberFormat="1">
      <alignment horizontal="center" readingOrder="0"/>
    </xf>
    <xf borderId="0" fillId="0" fontId="20" numFmtId="0" xfId="0" applyAlignment="1" applyFont="1">
      <alignment shrinkToFit="0" vertical="center" wrapText="1"/>
    </xf>
    <xf borderId="12" fillId="2" fontId="2" numFmtId="0" xfId="0" applyAlignment="1" applyBorder="1" applyFont="1">
      <alignment horizontal="center"/>
    </xf>
    <xf borderId="0" fillId="0" fontId="21" numFmtId="0" xfId="0" applyFont="1"/>
    <xf borderId="0" fillId="0" fontId="22" numFmtId="0" xfId="0" applyFont="1"/>
    <xf borderId="0" fillId="0" fontId="23" numFmtId="0" xfId="0" applyAlignment="1" applyFont="1">
      <alignment horizontal="center" shrinkToFit="0" vertical="center" wrapText="1"/>
    </xf>
    <xf borderId="4" fillId="0" fontId="16" numFmtId="0" xfId="0" applyAlignment="1" applyBorder="1" applyFont="1">
      <alignment horizontal="center"/>
    </xf>
    <xf borderId="3" fillId="4" fontId="15" numFmtId="0" xfId="0" applyBorder="1" applyFill="1" applyFont="1"/>
    <xf borderId="3" fillId="4" fontId="2" numFmtId="0" xfId="0" applyBorder="1" applyFont="1"/>
    <xf borderId="0" fillId="0" fontId="24" numFmtId="0" xfId="0" applyAlignment="1" applyFont="1">
      <alignment horizontal="left"/>
    </xf>
    <xf borderId="0" fillId="0" fontId="18" numFmtId="0" xfId="0" applyAlignment="1" applyFont="1">
      <alignment readingOrder="0"/>
    </xf>
    <xf borderId="0" fillId="0" fontId="25" numFmtId="0" xfId="0" applyFont="1"/>
    <xf borderId="13" fillId="0" fontId="25" numFmtId="0" xfId="0" applyBorder="1" applyFont="1"/>
    <xf borderId="14" fillId="0" fontId="25" numFmtId="0" xfId="0" applyBorder="1" applyFont="1"/>
    <xf borderId="15" fillId="0" fontId="25" numFmtId="0" xfId="0" applyBorder="1" applyFont="1"/>
    <xf borderId="16" fillId="0" fontId="26" numFmtId="0" xfId="0" applyAlignment="1" applyBorder="1" applyFont="1">
      <alignment horizontal="center" vertical="center"/>
    </xf>
    <xf borderId="17" fillId="0" fontId="6" numFmtId="0" xfId="0" applyBorder="1" applyFont="1"/>
    <xf borderId="18" fillId="0" fontId="6" numFmtId="0" xfId="0" applyBorder="1" applyFont="1"/>
    <xf borderId="11" fillId="0" fontId="25" numFmtId="0" xfId="0" applyBorder="1" applyFont="1"/>
    <xf borderId="0" fillId="0" fontId="27" numFmtId="0" xfId="0" applyAlignment="1" applyFont="1">
      <alignment horizontal="left"/>
    </xf>
    <xf borderId="0" fillId="0" fontId="25" numFmtId="0" xfId="0" applyAlignment="1" applyFont="1">
      <alignment horizontal="left"/>
    </xf>
    <xf borderId="19" fillId="0" fontId="25" numFmtId="0" xfId="0" applyBorder="1" applyFont="1"/>
    <xf borderId="20" fillId="0" fontId="6" numFmtId="0" xfId="0" applyBorder="1" applyFont="1"/>
    <xf borderId="21" fillId="0" fontId="6" numFmtId="0" xfId="0" applyBorder="1" applyFont="1"/>
    <xf borderId="0" fillId="0" fontId="28" numFmtId="0" xfId="0" applyAlignment="1" applyFont="1">
      <alignment horizontal="left" vertical="center"/>
    </xf>
    <xf borderId="19" fillId="0" fontId="6" numFmtId="0" xfId="0" applyBorder="1" applyFon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0" fillId="0" fontId="27" numFmtId="0" xfId="0" applyFont="1"/>
    <xf borderId="0" fillId="0" fontId="29" numFmtId="0" xfId="0" applyFont="1"/>
    <xf borderId="0" fillId="0" fontId="30" numFmtId="0" xfId="0" applyAlignment="1" applyFont="1">
      <alignment horizontal="right"/>
    </xf>
    <xf borderId="25" fillId="0" fontId="25" numFmtId="0" xfId="0" applyBorder="1" applyFont="1"/>
    <xf borderId="26" fillId="0" fontId="25" numFmtId="0" xfId="0" applyBorder="1" applyFont="1"/>
    <xf borderId="26" fillId="0" fontId="31" numFmtId="0" xfId="0" applyAlignment="1" applyBorder="1" applyFont="1">
      <alignment vertical="top"/>
    </xf>
    <xf borderId="27" fillId="0" fontId="32" numFmtId="0" xfId="0" applyAlignment="1" applyBorder="1" applyFont="1">
      <alignment horizontal="right"/>
    </xf>
    <xf borderId="28" fillId="5" fontId="27" numFmtId="0" xfId="0" applyAlignment="1" applyBorder="1" applyFill="1" applyFont="1">
      <alignment horizontal="center" vertical="center"/>
    </xf>
    <xf borderId="29" fillId="5" fontId="27" numFmtId="0" xfId="0" applyAlignment="1" applyBorder="1" applyFont="1">
      <alignment horizontal="center" vertical="center"/>
    </xf>
    <xf borderId="30" fillId="5" fontId="27" numFmtId="0" xfId="0" applyAlignment="1" applyBorder="1" applyFont="1">
      <alignment horizontal="center" vertical="center"/>
    </xf>
    <xf borderId="31" fillId="5" fontId="27" numFmtId="0" xfId="0" applyAlignment="1" applyBorder="1" applyFont="1">
      <alignment horizontal="left" vertical="center"/>
    </xf>
    <xf borderId="32" fillId="0" fontId="6" numFmtId="0" xfId="0" applyBorder="1" applyFont="1"/>
    <xf borderId="33" fillId="5" fontId="27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vertical="center"/>
    </xf>
    <xf borderId="34" fillId="0" fontId="6" numFmtId="0" xfId="0" applyBorder="1" applyFont="1"/>
    <xf borderId="35" fillId="0" fontId="6" numFmtId="0" xfId="0" applyBorder="1" applyFont="1"/>
    <xf borderId="36" fillId="0" fontId="6" numFmtId="0" xfId="0" applyBorder="1" applyFont="1"/>
    <xf borderId="37" fillId="5" fontId="27" numFmtId="0" xfId="0" applyAlignment="1" applyBorder="1" applyFont="1">
      <alignment horizontal="center" vertical="center"/>
    </xf>
    <xf borderId="38" fillId="5" fontId="27" numFmtId="0" xfId="0" applyAlignment="1" applyBorder="1" applyFont="1">
      <alignment horizontal="center" vertical="center"/>
    </xf>
    <xf borderId="39" fillId="0" fontId="6" numFmtId="0" xfId="0" applyBorder="1" applyFont="1"/>
    <xf borderId="40" fillId="0" fontId="6" numFmtId="0" xfId="0" applyBorder="1" applyFont="1"/>
    <xf borderId="41" fillId="0" fontId="6" numFmtId="0" xfId="0" applyBorder="1" applyFont="1"/>
    <xf borderId="31" fillId="0" fontId="1" numFmtId="0" xfId="0" applyBorder="1" applyFont="1"/>
    <xf borderId="32" fillId="0" fontId="1" numFmtId="0" xfId="0" applyAlignment="1" applyBorder="1" applyFont="1">
      <alignment vertical="center"/>
    </xf>
    <xf borderId="29" fillId="0" fontId="19" numFmtId="164" xfId="0" applyAlignment="1" applyBorder="1" applyFont="1" applyNumberFormat="1">
      <alignment vertical="center"/>
    </xf>
    <xf borderId="42" fillId="0" fontId="19" numFmtId="164" xfId="0" applyAlignment="1" applyBorder="1" applyFont="1" applyNumberFormat="1">
      <alignment vertical="center"/>
    </xf>
    <xf borderId="43" fillId="0" fontId="6" numFmtId="0" xfId="0" applyBorder="1" applyFont="1"/>
    <xf borderId="44" fillId="0" fontId="6" numFmtId="0" xfId="0" applyBorder="1" applyFont="1"/>
    <xf borderId="31" fillId="0" fontId="25" numFmtId="0" xfId="0" applyBorder="1" applyFont="1"/>
    <xf borderId="32" fillId="0" fontId="25" numFmtId="0" xfId="0" applyBorder="1" applyFont="1"/>
    <xf borderId="33" fillId="0" fontId="25" numFmtId="164" xfId="0" applyBorder="1" applyFont="1" applyNumberFormat="1"/>
    <xf borderId="45" fillId="0" fontId="7" numFmtId="0" xfId="0" applyAlignment="1" applyBorder="1" applyFont="1">
      <alignment horizontal="left"/>
    </xf>
    <xf borderId="46" fillId="0" fontId="33" numFmtId="164" xfId="0" applyBorder="1" applyFont="1" applyNumberFormat="1"/>
    <xf borderId="47" fillId="0" fontId="33" numFmtId="164" xfId="0" applyBorder="1" applyFont="1" applyNumberFormat="1"/>
    <xf borderId="0" fillId="0" fontId="34" numFmtId="0" xfId="0" applyFont="1"/>
    <xf borderId="45" fillId="0" fontId="1" numFmtId="0" xfId="0" applyAlignment="1" applyBorder="1" applyFont="1">
      <alignment horizontal="left"/>
    </xf>
    <xf borderId="48" fillId="0" fontId="19" numFmtId="164" xfId="0" applyBorder="1" applyFont="1" applyNumberFormat="1"/>
    <xf borderId="49" fillId="0" fontId="6" numFmtId="0" xfId="0" applyBorder="1" applyFont="1"/>
    <xf borderId="46" fillId="0" fontId="6" numFmtId="0" xfId="0" applyBorder="1" applyFont="1"/>
    <xf borderId="50" fillId="0" fontId="6" numFmtId="0" xfId="0" applyBorder="1" applyFont="1"/>
    <xf borderId="45" fillId="0" fontId="2" numFmtId="0" xfId="0" applyAlignment="1" applyBorder="1" applyFont="1">
      <alignment horizontal="left" vertical="center"/>
    </xf>
    <xf borderId="46" fillId="0" fontId="31" numFmtId="164" xfId="0" applyBorder="1" applyFont="1" applyNumberFormat="1"/>
    <xf borderId="47" fillId="0" fontId="31" numFmtId="164" xfId="0" applyBorder="1" applyFont="1" applyNumberFormat="1"/>
    <xf borderId="48" fillId="0" fontId="33" numFmtId="164" xfId="0" applyBorder="1" applyFont="1" applyNumberFormat="1"/>
    <xf borderId="51" fillId="5" fontId="27" numFmtId="0" xfId="0" applyAlignment="1" applyBorder="1" applyFont="1">
      <alignment horizontal="center" vertical="center"/>
    </xf>
    <xf borderId="52" fillId="5" fontId="27" numFmtId="0" xfId="0" applyAlignment="1" applyBorder="1" applyFont="1">
      <alignment horizontal="center" vertical="center"/>
    </xf>
    <xf borderId="53" fillId="5" fontId="27" numFmtId="0" xfId="0" applyAlignment="1" applyBorder="1" applyFont="1">
      <alignment horizontal="center" vertical="center"/>
    </xf>
    <xf borderId="45" fillId="0" fontId="1" numFmtId="0" xfId="0" applyBorder="1" applyFont="1"/>
    <xf borderId="46" fillId="0" fontId="19" numFmtId="164" xfId="0" applyBorder="1" applyFont="1" applyNumberFormat="1"/>
    <xf borderId="47" fillId="0" fontId="19" numFmtId="164" xfId="0" applyBorder="1" applyFont="1" applyNumberFormat="1"/>
    <xf borderId="31" fillId="0" fontId="1" numFmtId="0" xfId="0" applyAlignment="1" applyBorder="1" applyFont="1">
      <alignment horizontal="left"/>
    </xf>
    <xf borderId="32" fillId="0" fontId="2" numFmtId="0" xfId="0" applyBorder="1" applyFont="1"/>
    <xf borderId="29" fillId="0" fontId="31" numFmtId="164" xfId="0" applyBorder="1" applyFont="1" applyNumberFormat="1"/>
    <xf borderId="29" fillId="0" fontId="31" numFmtId="9" xfId="0" applyBorder="1" applyFont="1" applyNumberFormat="1"/>
    <xf borderId="32" fillId="0" fontId="31" numFmtId="9" xfId="0" applyBorder="1" applyFont="1" applyNumberFormat="1"/>
    <xf borderId="42" fillId="0" fontId="31" numFmtId="9" xfId="0" applyBorder="1" applyFont="1" applyNumberFormat="1"/>
    <xf borderId="54" fillId="5" fontId="27" numFmtId="0" xfId="0" applyAlignment="1" applyBorder="1" applyFont="1">
      <alignment horizontal="center" vertical="center"/>
    </xf>
    <xf borderId="55" fillId="5" fontId="27" numFmtId="0" xfId="0" applyAlignment="1" applyBorder="1" applyFont="1">
      <alignment horizontal="center" vertical="center"/>
    </xf>
    <xf borderId="11" fillId="0" fontId="35" numFmtId="0" xfId="0" applyAlignment="1" applyBorder="1" applyFont="1">
      <alignment horizontal="center" shrinkToFit="0" vertical="center" wrapText="1"/>
    </xf>
    <xf borderId="56" fillId="5" fontId="27" numFmtId="0" xfId="0" applyAlignment="1" applyBorder="1" applyFont="1">
      <alignment horizontal="center" vertical="center"/>
    </xf>
    <xf borderId="57" fillId="5" fontId="27" numFmtId="0" xfId="0" applyAlignment="1" applyBorder="1" applyFont="1">
      <alignment horizontal="center" vertical="center"/>
    </xf>
    <xf borderId="58" fillId="5" fontId="27" numFmtId="0" xfId="0" applyAlignment="1" applyBorder="1" applyFont="1">
      <alignment horizontal="center" vertical="center"/>
    </xf>
    <xf borderId="46" fillId="0" fontId="31" numFmtId="9" xfId="0" applyBorder="1" applyFont="1" applyNumberFormat="1"/>
    <xf borderId="0" fillId="0" fontId="31" numFmtId="9" xfId="0" applyFont="1" applyNumberFormat="1"/>
    <xf borderId="47" fillId="0" fontId="31" numFmtId="9" xfId="0" applyBorder="1" applyFont="1" applyNumberFormat="1"/>
    <xf borderId="31" fillId="0" fontId="2" numFmtId="0" xfId="0" applyAlignment="1" applyBorder="1" applyFont="1">
      <alignment horizontal="left"/>
    </xf>
    <xf borderId="29" fillId="0" fontId="31" numFmtId="164" xfId="0" applyAlignment="1" applyBorder="1" applyFont="1" applyNumberFormat="1">
      <alignment vertical="center"/>
    </xf>
    <xf borderId="42" fillId="0" fontId="19" numFmtId="164" xfId="0" applyAlignment="1" applyBorder="1" applyFont="1" applyNumberFormat="1">
      <alignment shrinkToFit="0" vertical="center" wrapText="1"/>
    </xf>
    <xf borderId="59" fillId="0" fontId="6" numFmtId="0" xfId="0" applyBorder="1" applyFont="1"/>
    <xf borderId="60" fillId="0" fontId="6" numFmtId="0" xfId="0" applyBorder="1" applyFont="1"/>
    <xf borderId="11" fillId="0" fontId="6" numFmtId="0" xfId="0" applyBorder="1" applyFont="1"/>
    <xf borderId="45" fillId="0" fontId="7" numFmtId="164" xfId="0" applyAlignment="1" applyBorder="1" applyFont="1" applyNumberFormat="1">
      <alignment horizontal="left"/>
    </xf>
    <xf borderId="61" fillId="0" fontId="33" numFmtId="164" xfId="0" applyBorder="1" applyFont="1" applyNumberFormat="1"/>
    <xf borderId="45" fillId="0" fontId="1" numFmtId="0" xfId="0" applyAlignment="1" applyBorder="1" applyFont="1">
      <alignment horizontal="left" vertical="center"/>
    </xf>
    <xf borderId="62" fillId="5" fontId="1" numFmtId="0" xfId="0" applyBorder="1" applyFont="1"/>
    <xf borderId="63" fillId="5" fontId="2" numFmtId="0" xfId="0" applyBorder="1" applyFont="1"/>
    <xf borderId="64" fillId="5" fontId="19" numFmtId="9" xfId="0" applyAlignment="1" applyBorder="1" applyFont="1" applyNumberFormat="1">
      <alignment horizontal="center"/>
    </xf>
    <xf borderId="65" fillId="5" fontId="19" numFmtId="9" xfId="0" applyAlignment="1" applyBorder="1" applyFont="1" applyNumberFormat="1">
      <alignment horizontal="center"/>
    </xf>
    <xf borderId="31" fillId="0" fontId="2" numFmtId="0" xfId="0" applyAlignment="1" applyBorder="1" applyFont="1">
      <alignment horizontal="left" vertical="center"/>
    </xf>
    <xf borderId="42" fillId="0" fontId="31" numFmtId="164" xfId="0" applyAlignment="1" applyBorder="1" applyFont="1" applyNumberFormat="1">
      <alignment shrinkToFit="0" vertical="center" wrapText="1"/>
    </xf>
    <xf borderId="37" fillId="0" fontId="31" numFmtId="164" xfId="0" applyAlignment="1" applyBorder="1" applyFont="1" applyNumberFormat="1">
      <alignment vertical="center"/>
    </xf>
    <xf borderId="66" fillId="0" fontId="31" numFmtId="164" xfId="0" applyAlignment="1" applyBorder="1" applyFont="1" applyNumberFormat="1">
      <alignment vertical="center"/>
    </xf>
    <xf borderId="67" fillId="0" fontId="19" numFmtId="164" xfId="0" applyAlignment="1" applyBorder="1" applyFont="1" applyNumberFormat="1">
      <alignment vertical="center"/>
    </xf>
    <xf borderId="46" fillId="0" fontId="7" numFmtId="9" xfId="0" applyAlignment="1" applyBorder="1" applyFont="1" applyNumberFormat="1">
      <alignment horizontal="center"/>
    </xf>
    <xf borderId="47" fillId="0" fontId="7" numFmtId="9" xfId="0" applyAlignment="1" applyBorder="1" applyFont="1" applyNumberFormat="1">
      <alignment horizontal="center"/>
    </xf>
    <xf borderId="64" fillId="5" fontId="19" numFmtId="164" xfId="0" applyBorder="1" applyFont="1" applyNumberFormat="1"/>
    <xf borderId="65" fillId="5" fontId="19" numFmtId="164" xfId="0" applyBorder="1" applyFont="1" applyNumberFormat="1"/>
    <xf borderId="64" fillId="5" fontId="19" numFmtId="9" xfId="0" applyBorder="1" applyFont="1" applyNumberFormat="1"/>
    <xf borderId="63" fillId="5" fontId="19" numFmtId="9" xfId="0" applyBorder="1" applyFont="1" applyNumberFormat="1"/>
    <xf borderId="65" fillId="5" fontId="19" numFmtId="9" xfId="0" applyBorder="1" applyFont="1" applyNumberFormat="1"/>
    <xf borderId="61" fillId="0" fontId="31" numFmtId="164" xfId="0" applyBorder="1" applyFont="1" applyNumberFormat="1"/>
    <xf borderId="68" fillId="0" fontId="31" numFmtId="164" xfId="0" applyBorder="1" applyFont="1" applyNumberFormat="1"/>
    <xf borderId="69" fillId="0" fontId="31" numFmtId="164" xfId="0" applyBorder="1" applyFont="1" applyNumberFormat="1"/>
    <xf borderId="70" fillId="0" fontId="19" numFmtId="164" xfId="0" applyBorder="1" applyFont="1" applyNumberFormat="1"/>
    <xf borderId="61" fillId="0" fontId="19" numFmtId="164" xfId="0" applyBorder="1" applyFont="1" applyNumberFormat="1"/>
    <xf borderId="64" fillId="5" fontId="19" numFmtId="164" xfId="0" applyAlignment="1" applyBorder="1" applyFont="1" applyNumberFormat="1">
      <alignment horizontal="center"/>
    </xf>
    <xf borderId="65" fillId="5" fontId="19" numFmtId="164" xfId="0" applyAlignment="1" applyBorder="1" applyFont="1" applyNumberFormat="1">
      <alignment horizontal="center"/>
    </xf>
    <xf borderId="42" fillId="0" fontId="31" numFmtId="164" xfId="0" applyBorder="1" applyFont="1" applyNumberFormat="1"/>
    <xf borderId="37" fillId="0" fontId="31" numFmtId="164" xfId="0" applyBorder="1" applyFont="1" applyNumberFormat="1"/>
    <xf borderId="66" fillId="0" fontId="31" numFmtId="164" xfId="0" applyBorder="1" applyFont="1" applyNumberFormat="1"/>
    <xf borderId="67" fillId="0" fontId="19" numFmtId="164" xfId="0" applyBorder="1" applyFont="1" applyNumberFormat="1"/>
    <xf borderId="11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vertical="center"/>
    </xf>
    <xf borderId="19" fillId="0" fontId="36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left" vertical="center"/>
    </xf>
    <xf borderId="40" fillId="0" fontId="2" numFmtId="0" xfId="0" applyBorder="1" applyFont="1"/>
    <xf borderId="35" fillId="0" fontId="33" numFmtId="164" xfId="0" applyBorder="1" applyFont="1" applyNumberFormat="1"/>
    <xf borderId="71" fillId="0" fontId="33" numFmtId="164" xfId="0" applyBorder="1" applyFont="1" applyNumberFormat="1"/>
    <xf borderId="72" fillId="5" fontId="19" numFmtId="164" xfId="0" applyBorder="1" applyFont="1" applyNumberFormat="1"/>
    <xf borderId="73" fillId="5" fontId="19" numFmtId="164" xfId="0" applyBorder="1" applyFont="1" applyNumberFormat="1"/>
    <xf borderId="74" fillId="5" fontId="19" numFmtId="164" xfId="0" applyBorder="1" applyFont="1" applyNumberFormat="1"/>
    <xf borderId="39" fillId="0" fontId="2" numFmtId="0" xfId="0" applyBorder="1" applyFont="1"/>
    <xf borderId="35" fillId="0" fontId="19" numFmtId="164" xfId="0" applyBorder="1" applyFont="1" applyNumberFormat="1"/>
    <xf borderId="71" fillId="0" fontId="31" numFmtId="0" xfId="0" applyBorder="1" applyFont="1"/>
    <xf borderId="0" fillId="0" fontId="25" numFmtId="164" xfId="0" applyFont="1" applyNumberFormat="1"/>
    <xf borderId="69" fillId="0" fontId="19" numFmtId="164" xfId="0" applyBorder="1" applyFont="1" applyNumberFormat="1"/>
    <xf borderId="0" fillId="0" fontId="37" numFmtId="0" xfId="0" applyAlignment="1" applyFont="1">
      <alignment horizontal="center" vertical="center"/>
    </xf>
    <xf borderId="0" fillId="0" fontId="29" numFmtId="0" xfId="0" applyAlignment="1" applyFont="1">
      <alignment horizontal="left"/>
    </xf>
    <xf borderId="0" fillId="0" fontId="29" numFmtId="164" xfId="0" applyFont="1" applyNumberFormat="1"/>
    <xf borderId="0" fillId="0" fontId="38" numFmtId="0" xfId="0" applyAlignment="1" applyFont="1">
      <alignment vertical="center"/>
    </xf>
    <xf borderId="0" fillId="0" fontId="39" numFmtId="0" xfId="0" applyAlignment="1" applyFont="1">
      <alignment horizontal="center" shrinkToFit="0" vertical="center" wrapText="1"/>
    </xf>
    <xf borderId="75" fillId="0" fontId="31" numFmtId="9" xfId="0" applyBorder="1" applyFont="1" applyNumberFormat="1"/>
    <xf borderId="0" fillId="0" fontId="30" numFmtId="0" xfId="0" applyFont="1"/>
    <xf borderId="0" fillId="0" fontId="31" numFmtId="164" xfId="0" applyAlignment="1" applyFont="1" applyNumberFormat="1">
      <alignment horizontal="left"/>
    </xf>
    <xf borderId="45" fillId="0" fontId="2" numFmtId="0" xfId="0" applyAlignment="1" applyBorder="1" applyFont="1">
      <alignment horizontal="left"/>
    </xf>
    <xf borderId="0" fillId="0" fontId="40" numFmtId="0" xfId="0" applyFont="1"/>
    <xf borderId="0" fillId="0" fontId="7" numFmtId="0" xfId="0" applyAlignment="1" applyFont="1">
      <alignment horizontal="center"/>
    </xf>
    <xf borderId="0" fillId="0" fontId="27" numFmtId="164" xfId="0" applyAlignment="1" applyFont="1" applyNumberFormat="1">
      <alignment vertical="center"/>
    </xf>
    <xf borderId="29" fillId="0" fontId="19" numFmtId="4" xfId="0" applyBorder="1" applyFont="1" applyNumberFormat="1"/>
    <xf borderId="42" fillId="0" fontId="19" numFmtId="4" xfId="0" applyBorder="1" applyFont="1" applyNumberFormat="1"/>
    <xf borderId="0" fillId="0" fontId="25" numFmtId="0" xfId="0" applyAlignment="1" applyFont="1">
      <alignment horizontal="left" vertical="center"/>
    </xf>
    <xf borderId="0" fillId="0" fontId="29" numFmtId="0" xfId="0" applyAlignment="1" applyFont="1">
      <alignment horizontal="center"/>
    </xf>
    <xf borderId="0" fillId="0" fontId="25" numFmtId="164" xfId="0" applyAlignment="1" applyFont="1" applyNumberFormat="1">
      <alignment horizontal="right" vertical="center"/>
    </xf>
    <xf borderId="12" fillId="5" fontId="19" numFmtId="164" xfId="0" applyBorder="1" applyFont="1" applyNumberFormat="1"/>
    <xf borderId="45" fillId="0" fontId="2" numFmtId="0" xfId="0" applyBorder="1" applyFont="1"/>
    <xf borderId="46" fillId="0" fontId="31" numFmtId="0" xfId="0" applyBorder="1" applyFont="1"/>
    <xf borderId="61" fillId="0" fontId="31" numFmtId="0" xfId="0" applyBorder="1" applyFont="1"/>
    <xf borderId="0" fillId="0" fontId="1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0" fillId="0" fontId="41" numFmtId="0" xfId="0" applyAlignment="1" applyFont="1">
      <alignment horizontal="center" vertical="center"/>
    </xf>
    <xf borderId="45" fillId="0" fontId="25" numFmtId="0" xfId="0" applyBorder="1" applyFont="1"/>
    <xf borderId="48" fillId="0" fontId="25" numFmtId="164" xfId="0" applyBorder="1" applyFont="1" applyNumberFormat="1"/>
    <xf borderId="46" fillId="0" fontId="33" numFmtId="4" xfId="0" applyBorder="1" applyFont="1" applyNumberFormat="1"/>
    <xf borderId="61" fillId="0" fontId="33" numFmtId="4" xfId="0" applyBorder="1" applyFont="1" applyNumberFormat="1"/>
    <xf borderId="42" fillId="0" fontId="6" numFmtId="0" xfId="0" applyBorder="1" applyFont="1"/>
    <xf borderId="0" fillId="0" fontId="27" numFmtId="164" xfId="0" applyAlignment="1" applyFont="1" applyNumberFormat="1">
      <alignment horizontal="center" vertical="center"/>
    </xf>
    <xf borderId="71" fillId="0" fontId="6" numFmtId="0" xfId="0" applyBorder="1" applyFont="1"/>
    <xf borderId="37" fillId="0" fontId="31" numFmtId="164" xfId="0" applyAlignment="1" applyBorder="1" applyFont="1" applyNumberFormat="1">
      <alignment horizontal="right" vertical="center"/>
    </xf>
    <xf borderId="29" fillId="0" fontId="31" numFmtId="164" xfId="0" applyAlignment="1" applyBorder="1" applyFont="1" applyNumberFormat="1">
      <alignment horizontal="right" vertical="center"/>
    </xf>
    <xf borderId="42" fillId="0" fontId="31" numFmtId="164" xfId="0" applyAlignment="1" applyBorder="1" applyFont="1" applyNumberFormat="1">
      <alignment horizontal="right" vertical="center"/>
    </xf>
    <xf borderId="27" fillId="0" fontId="25" numFmtId="0" xfId="0" applyBorder="1" applyFont="1"/>
    <xf borderId="72" fillId="5" fontId="19" numFmtId="0" xfId="0" applyAlignment="1" applyBorder="1" applyFont="1">
      <alignment horizontal="center" vertical="center"/>
    </xf>
    <xf borderId="64" fillId="5" fontId="19" numFmtId="0" xfId="0" applyAlignment="1" applyBorder="1" applyFont="1">
      <alignment horizontal="center" vertical="center"/>
    </xf>
    <xf borderId="65" fillId="5" fontId="19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5" fillId="0" fontId="2" numFmtId="0" xfId="0" applyAlignment="1" applyBorder="1" applyFont="1">
      <alignment horizontal="left" vertical="center"/>
    </xf>
    <xf borderId="6" fillId="0" fontId="2" numFmtId="0" xfId="0" applyBorder="1" applyFont="1"/>
    <xf borderId="6" fillId="0" fontId="7" numFmtId="0" xfId="0" applyAlignment="1" applyBorder="1" applyFont="1">
      <alignment horizontal="center"/>
    </xf>
    <xf borderId="12" fillId="5" fontId="1" numFmtId="0" xfId="0" applyAlignment="1" applyBorder="1" applyFont="1">
      <alignment vertical="center"/>
    </xf>
    <xf borderId="62" fillId="5" fontId="1" numFmtId="0" xfId="0" applyAlignment="1" applyBorder="1" applyFont="1">
      <alignment vertical="center"/>
    </xf>
    <xf borderId="63" fillId="5" fontId="1" numFmtId="0" xfId="0" applyAlignment="1" applyBorder="1" applyFont="1">
      <alignment vertical="center"/>
    </xf>
    <xf borderId="72" fillId="5" fontId="19" numFmtId="164" xfId="0" applyAlignment="1" applyBorder="1" applyFont="1" applyNumberFormat="1">
      <alignment horizontal="center" vertical="center"/>
    </xf>
    <xf borderId="64" fillId="5" fontId="19" numFmtId="164" xfId="0" applyAlignment="1" applyBorder="1" applyFont="1" applyNumberFormat="1">
      <alignment horizontal="center" vertical="center"/>
    </xf>
    <xf borderId="65" fillId="5" fontId="19" numFmtId="164" xfId="0" applyAlignment="1" applyBorder="1" applyFont="1" applyNumberFormat="1">
      <alignment horizontal="center" vertical="center"/>
    </xf>
    <xf borderId="68" fillId="0" fontId="19" numFmtId="164" xfId="0" applyBorder="1" applyFont="1" applyNumberFormat="1"/>
    <xf borderId="70" fillId="0" fontId="42" numFmtId="164" xfId="0" applyBorder="1" applyFont="1" applyNumberFormat="1"/>
    <xf borderId="0" fillId="0" fontId="7" numFmtId="0" xfId="0" applyAlignment="1" applyFont="1">
      <alignment horizontal="right"/>
    </xf>
    <xf borderId="38" fillId="0" fontId="19" numFmtId="4" xfId="0" applyBorder="1" applyFont="1" applyNumberFormat="1"/>
    <xf borderId="76" fillId="5" fontId="27" numFmtId="0" xfId="0" applyAlignment="1" applyBorder="1" applyFont="1">
      <alignment horizontal="center" vertical="center"/>
    </xf>
    <xf borderId="77" fillId="5" fontId="27" numFmtId="0" xfId="0" applyAlignment="1" applyBorder="1" applyFont="1">
      <alignment horizontal="center" vertical="center"/>
    </xf>
    <xf borderId="0" fillId="0" fontId="7" numFmtId="10" xfId="0" applyFont="1" applyNumberFormat="1"/>
    <xf borderId="3" fillId="5" fontId="27" numFmtId="0" xfId="0" applyAlignment="1" applyBorder="1" applyFont="1">
      <alignment horizontal="center" vertical="center"/>
    </xf>
    <xf borderId="9" fillId="5" fontId="27" numFmtId="0" xfId="0" applyAlignment="1" applyBorder="1" applyFont="1">
      <alignment horizontal="center" vertical="center"/>
    </xf>
    <xf borderId="78" fillId="5" fontId="27" numFmtId="0" xfId="0" applyAlignment="1" applyBorder="1" applyFont="1">
      <alignment horizontal="center" vertical="center"/>
    </xf>
    <xf borderId="46" fillId="0" fontId="43" numFmtId="164" xfId="0" applyBorder="1" applyFont="1" applyNumberFormat="1"/>
    <xf borderId="61" fillId="0" fontId="43" numFmtId="164" xfId="0" applyBorder="1" applyFont="1" applyNumberFormat="1"/>
    <xf borderId="0" fillId="0" fontId="44" numFmtId="0" xfId="0" applyFont="1"/>
    <xf borderId="68" fillId="0" fontId="43" numFmtId="164" xfId="0" applyBorder="1" applyFont="1" applyNumberFormat="1"/>
    <xf borderId="69" fillId="0" fontId="43" numFmtId="164" xfId="0" applyBorder="1" applyFont="1" applyNumberFormat="1"/>
    <xf borderId="70" fillId="0" fontId="45" numFmtId="164" xfId="0" applyBorder="1" applyFont="1" applyNumberFormat="1"/>
    <xf borderId="0" fillId="0" fontId="25" numFmtId="166" xfId="0" applyAlignment="1" applyFont="1" applyNumberFormat="1">
      <alignment horizontal="center"/>
    </xf>
    <xf borderId="79" fillId="5" fontId="19" numFmtId="164" xfId="0" applyBorder="1" applyFont="1" applyNumberFormat="1"/>
    <xf borderId="63" fillId="5" fontId="19" numFmtId="164" xfId="0" applyBorder="1" applyFont="1" applyNumberFormat="1"/>
    <xf borderId="39" fillId="0" fontId="2" numFmtId="0" xfId="0" applyAlignment="1" applyBorder="1" applyFont="1">
      <alignment horizontal="left" vertical="center"/>
    </xf>
    <xf borderId="71" fillId="0" fontId="19" numFmtId="164" xfId="0" applyBorder="1" applyFont="1" applyNumberFormat="1"/>
    <xf borderId="43" fillId="0" fontId="19" numFmtId="164" xfId="0" applyBorder="1" applyFont="1" applyNumberFormat="1"/>
    <xf borderId="80" fillId="0" fontId="19" numFmtId="164" xfId="0" applyBorder="1" applyFont="1" applyNumberFormat="1"/>
    <xf borderId="81" fillId="0" fontId="19" numFmtId="164" xfId="0" applyBorder="1" applyFont="1" applyNumberFormat="1"/>
    <xf borderId="0" fillId="0" fontId="25" numFmtId="0" xfId="0" applyAlignment="1" applyFont="1">
      <alignment horizontal="center"/>
    </xf>
    <xf borderId="82" fillId="0" fontId="31" numFmtId="164" xfId="0" applyBorder="1" applyFont="1" applyNumberFormat="1"/>
    <xf borderId="0" fillId="0" fontId="31" numFmtId="164" xfId="0" applyFont="1" applyNumberFormat="1"/>
    <xf borderId="0" fillId="0" fontId="27" numFmtId="164" xfId="0" applyFont="1" applyNumberFormat="1"/>
    <xf borderId="39" fillId="0" fontId="1" numFmtId="0" xfId="0" applyAlignment="1" applyBorder="1" applyFont="1">
      <alignment horizontal="left"/>
    </xf>
    <xf borderId="40" fillId="0" fontId="1" numFmtId="0" xfId="0" applyBorder="1" applyFont="1"/>
    <xf borderId="83" fillId="0" fontId="19" numFmtId="164" xfId="0" applyBorder="1" applyFont="1" applyNumberFormat="1"/>
    <xf borderId="40" fillId="0" fontId="19" numFmtId="164" xfId="0" applyBorder="1" applyFont="1" applyNumberFormat="1"/>
    <xf borderId="0" fillId="0" fontId="46" numFmtId="14" xfId="0" applyAlignment="1" applyFont="1" applyNumberFormat="1">
      <alignment horizontal="center" vertical="center"/>
    </xf>
    <xf borderId="41" fillId="0" fontId="31" numFmtId="0" xfId="0" applyBorder="1" applyFont="1"/>
    <xf borderId="35" fillId="0" fontId="31" numFmtId="0" xfId="0" applyBorder="1" applyFont="1"/>
    <xf borderId="44" fillId="0" fontId="31" numFmtId="0" xfId="0" applyBorder="1" applyFont="1"/>
    <xf borderId="39" fillId="0" fontId="2" numFmtId="0" xfId="0" applyAlignment="1" applyBorder="1" applyFont="1">
      <alignment horizontal="left"/>
    </xf>
    <xf borderId="40" fillId="0" fontId="27" numFmtId="0" xfId="0" applyBorder="1" applyFont="1"/>
    <xf borderId="5" fillId="0" fontId="27" numFmtId="0" xfId="0" applyAlignment="1" applyBorder="1" applyFont="1">
      <alignment horizontal="left"/>
    </xf>
    <xf borderId="64" fillId="0" fontId="19" numFmtId="4" xfId="0" applyBorder="1" applyFont="1" applyNumberFormat="1"/>
    <xf borderId="75" fillId="0" fontId="19" numFmtId="4" xfId="0" applyBorder="1" applyFont="1" applyNumberFormat="1"/>
    <xf borderId="35" fillId="0" fontId="31" numFmtId="164" xfId="0" applyBorder="1" applyFont="1" applyNumberFormat="1"/>
    <xf borderId="33" fillId="0" fontId="47" numFmtId="0" xfId="0" applyAlignment="1" applyBorder="1" applyFont="1">
      <alignment readingOrder="0"/>
    </xf>
    <xf borderId="33" fillId="0" fontId="47" numFmtId="0" xfId="0" applyBorder="1" applyFont="1"/>
    <xf borderId="5" fillId="0" fontId="48" numFmtId="0" xfId="0" applyAlignment="1" applyBorder="1" applyFont="1">
      <alignment readingOrder="0"/>
    </xf>
    <xf borderId="6" fillId="0" fontId="47" numFmtId="0" xfId="0" applyBorder="1" applyFont="1"/>
    <xf borderId="7" fillId="0" fontId="47" numFmtId="0" xfId="0" applyBorder="1" applyFont="1"/>
    <xf borderId="41" fillId="0" fontId="47" numFmtId="0" xfId="0" applyAlignment="1" applyBorder="1" applyFont="1">
      <alignment readingOrder="0"/>
    </xf>
    <xf borderId="41" fillId="0" fontId="47" numFmtId="0" xfId="0" applyBorder="1" applyFont="1"/>
    <xf borderId="12" fillId="0" fontId="47" numFmtId="0" xfId="0" applyAlignment="1" applyBorder="1" applyFont="1">
      <alignment readingOrder="0"/>
    </xf>
    <xf borderId="12" fillId="0" fontId="47" numFmtId="0" xfId="0" applyBorder="1" applyFon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0</xdr:row>
      <xdr:rowOff>0</xdr:rowOff>
    </xdr:from>
    <xdr:ext cx="1762125" cy="88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4" width="19.86"/>
    <col customWidth="1" min="5" max="5" width="11.43"/>
    <col customWidth="1" min="6" max="6" width="34.14"/>
    <col customWidth="1" min="7" max="9" width="17.14"/>
    <col customWidth="1" hidden="1" min="10" max="10" width="28.29"/>
    <col customWidth="1" hidden="1" min="11" max="14" width="11.43"/>
    <col customWidth="1" min="15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/>
      <c r="B3" s="2"/>
      <c r="C3" s="2"/>
      <c r="D3" s="2"/>
      <c r="E3" s="2"/>
      <c r="F3" s="2"/>
      <c r="G3" s="4"/>
      <c r="H3" s="4"/>
      <c r="I3" s="2"/>
      <c r="J3" s="2"/>
      <c r="K3" s="2"/>
      <c r="L3" s="2"/>
      <c r="M3" s="2"/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5" t="s">
        <v>3</v>
      </c>
      <c r="B4" s="2"/>
      <c r="C4" s="2"/>
      <c r="D4" s="2"/>
      <c r="E4" s="2"/>
      <c r="F4" s="2"/>
      <c r="G4" s="4"/>
      <c r="H4" s="4"/>
      <c r="I4" s="2"/>
      <c r="J4" s="2"/>
      <c r="K4" s="2"/>
      <c r="L4" s="2"/>
      <c r="M4" s="2"/>
      <c r="N4" s="2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" t="s">
        <v>5</v>
      </c>
      <c r="B6" s="6" t="s">
        <v>6</v>
      </c>
      <c r="C6" s="7"/>
      <c r="D6" s="2"/>
      <c r="E6" s="2"/>
      <c r="F6" s="2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" t="s">
        <v>7</v>
      </c>
      <c r="B7" s="6" t="s">
        <v>8</v>
      </c>
      <c r="C7" s="7"/>
      <c r="D7" s="8" t="s">
        <v>9</v>
      </c>
      <c r="E7" s="2"/>
      <c r="F7" s="2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" t="s">
        <v>10</v>
      </c>
      <c r="B8" s="9"/>
      <c r="C8" s="7"/>
      <c r="D8" s="8" t="s">
        <v>11</v>
      </c>
      <c r="E8" s="2"/>
      <c r="F8" s="2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 t="s">
        <v>12</v>
      </c>
      <c r="B9" s="10" t="s">
        <v>13</v>
      </c>
      <c r="C9" s="7"/>
      <c r="D9" s="2"/>
      <c r="E9" s="2"/>
      <c r="F9" s="2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" t="s">
        <v>14</v>
      </c>
      <c r="B10" s="11" t="s">
        <v>15</v>
      </c>
      <c r="C10" s="7"/>
      <c r="D10" s="2"/>
      <c r="E10" s="2"/>
      <c r="F10" s="2"/>
      <c r="G10" s="4"/>
      <c r="H10" s="1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" t="s">
        <v>16</v>
      </c>
      <c r="B11" s="9" t="s">
        <v>17</v>
      </c>
      <c r="C11" s="7"/>
      <c r="D11" s="2"/>
      <c r="E11" s="2"/>
      <c r="F11" s="2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18</v>
      </c>
      <c r="B12" s="13" t="s">
        <v>19</v>
      </c>
      <c r="C12" s="7"/>
      <c r="D12" s="14" t="s">
        <v>20</v>
      </c>
      <c r="E12" s="2"/>
      <c r="F12" s="2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21</v>
      </c>
      <c r="B13" s="15" t="s">
        <v>22</v>
      </c>
      <c r="C13" s="14" t="s">
        <v>23</v>
      </c>
      <c r="D13" s="2"/>
      <c r="E13" s="2"/>
      <c r="F13" s="2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>
      <c r="A14" s="5" t="s">
        <v>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6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4" t="s">
        <v>27</v>
      </c>
      <c r="B17" s="17"/>
      <c r="C17" s="8" t="s">
        <v>28</v>
      </c>
      <c r="D17" s="2"/>
      <c r="E17" s="2"/>
      <c r="F17" s="2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4" t="s">
        <v>29</v>
      </c>
      <c r="B18" s="17"/>
      <c r="C18" s="8" t="s">
        <v>30</v>
      </c>
      <c r="D18" s="2"/>
      <c r="E18" s="2"/>
      <c r="F18" s="2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4" t="s">
        <v>31</v>
      </c>
      <c r="B19" s="17"/>
      <c r="C19" s="8"/>
      <c r="D19" s="2"/>
      <c r="E19" s="2"/>
      <c r="F19" s="2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4" t="s">
        <v>32</v>
      </c>
      <c r="B20" s="17">
        <v>500.0</v>
      </c>
      <c r="C20" s="8" t="s">
        <v>33</v>
      </c>
      <c r="D20" s="2"/>
      <c r="E20" s="2"/>
      <c r="F20" s="2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4" t="s">
        <v>34</v>
      </c>
      <c r="B21" s="18"/>
      <c r="C21" s="8" t="s">
        <v>35</v>
      </c>
      <c r="D21" s="2"/>
      <c r="E21" s="2"/>
      <c r="F21" s="2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4" t="s">
        <v>36</v>
      </c>
      <c r="B22" s="18"/>
      <c r="C22" s="8" t="s">
        <v>37</v>
      </c>
      <c r="D22" s="2"/>
      <c r="E22" s="2"/>
      <c r="F22" s="2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14" t="s">
        <v>38</v>
      </c>
      <c r="B23" s="17">
        <v>750.0</v>
      </c>
      <c r="C23" s="8"/>
      <c r="D23" s="2"/>
      <c r="E23" s="2"/>
      <c r="F23" s="2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14" t="s">
        <v>39</v>
      </c>
      <c r="B24" s="18"/>
      <c r="C24" s="8"/>
      <c r="D24" s="2"/>
      <c r="E24" s="2"/>
      <c r="F24" s="2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4" t="s">
        <v>40</v>
      </c>
      <c r="B25" s="18"/>
      <c r="C25" s="8" t="s">
        <v>41</v>
      </c>
      <c r="D25" s="2"/>
      <c r="E25" s="2"/>
      <c r="F25" s="2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4" t="s">
        <v>42</v>
      </c>
      <c r="B26" s="18"/>
      <c r="C26" s="8" t="s">
        <v>43</v>
      </c>
      <c r="D26" s="2"/>
      <c r="E26" s="2"/>
      <c r="F26" s="2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" t="s">
        <v>44</v>
      </c>
      <c r="B27" s="17">
        <v>4200.0</v>
      </c>
      <c r="C27" s="8" t="s">
        <v>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 t="s">
        <v>46</v>
      </c>
      <c r="B28" s="18"/>
      <c r="C28" s="8" t="s">
        <v>47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" t="s">
        <v>48</v>
      </c>
      <c r="B29" s="18"/>
      <c r="C29" s="8" t="s">
        <v>49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4" t="s">
        <v>50</v>
      </c>
      <c r="B30" s="17">
        <v>7200.0</v>
      </c>
      <c r="C30" s="19" t="s">
        <v>51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4" t="s">
        <v>52</v>
      </c>
      <c r="B31" s="18"/>
      <c r="C31" s="8" t="s">
        <v>53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 t="s">
        <v>54</v>
      </c>
      <c r="B32" s="18"/>
      <c r="C32" s="8" t="s">
        <v>55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" t="s">
        <v>56</v>
      </c>
      <c r="B33" s="17">
        <v>8000.0</v>
      </c>
      <c r="C33" s="8" t="s">
        <v>57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0" t="s">
        <v>58</v>
      </c>
      <c r="B34" s="21">
        <f>SUM(B17:B33)</f>
        <v>20650</v>
      </c>
      <c r="C34" s="2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59</v>
      </c>
      <c r="B36" s="2"/>
      <c r="C36" s="23">
        <v>5.0</v>
      </c>
      <c r="D36" s="24" t="s">
        <v>60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hidden="1" customHeight="1">
      <c r="A38" s="2"/>
      <c r="B38" s="20" t="s">
        <v>61</v>
      </c>
      <c r="C38" s="25" t="s">
        <v>62</v>
      </c>
      <c r="D38" s="25" t="s">
        <v>63</v>
      </c>
      <c r="E38" s="25" t="s">
        <v>64</v>
      </c>
      <c r="F38" s="25" t="s">
        <v>65</v>
      </c>
      <c r="G38" s="25" t="s">
        <v>66</v>
      </c>
      <c r="H38" s="25" t="s">
        <v>67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58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hidden="1" customHeight="1">
      <c r="A39" s="2"/>
      <c r="B39" s="26">
        <f>SUM(B17,B19,B21,B25:B31)</f>
        <v>11400</v>
      </c>
      <c r="C39" s="27">
        <f t="shared" ref="C39:C40" si="3">IF(ISERROR($B39/$C$36),0,$B39/$C$36)</f>
        <v>2280</v>
      </c>
      <c r="D39" s="27">
        <f t="shared" ref="D39:L39" si="1">IF($B39&gt;(SUM($C39:C39)),IF(ISERROR($B39/$C$36),"",$B39/$C$36),0)</f>
        <v>2280</v>
      </c>
      <c r="E39" s="27">
        <f t="shared" si="1"/>
        <v>2280</v>
      </c>
      <c r="F39" s="27">
        <f t="shared" si="1"/>
        <v>2280</v>
      </c>
      <c r="G39" s="27">
        <f t="shared" si="1"/>
        <v>2280</v>
      </c>
      <c r="H39" s="27">
        <f t="shared" si="1"/>
        <v>0</v>
      </c>
      <c r="I39" s="27">
        <f t="shared" si="1"/>
        <v>0</v>
      </c>
      <c r="J39" s="27">
        <f t="shared" si="1"/>
        <v>0</v>
      </c>
      <c r="K39" s="27">
        <f t="shared" si="1"/>
        <v>0</v>
      </c>
      <c r="L39" s="27">
        <f t="shared" si="1"/>
        <v>0</v>
      </c>
      <c r="M39" s="28">
        <f t="shared" ref="M39:M54" si="5">SUM(C39:L39)</f>
        <v>11400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hidden="1" customHeight="1">
      <c r="A40" s="2" t="str">
        <f t="shared" ref="A40:B40" si="2">A17</f>
        <v>Frais d’établissement </v>
      </c>
      <c r="B40" s="29" t="str">
        <f t="shared" si="2"/>
        <v/>
      </c>
      <c r="C40" s="25">
        <f t="shared" si="3"/>
        <v>0</v>
      </c>
      <c r="D40" s="25">
        <f t="shared" ref="D40:L40" si="4">IF($B40&gt;(SUM($C40:C40)),IF(ISERROR($B40/$C$36),"",$B40/$C$36),0)</f>
        <v>0</v>
      </c>
      <c r="E40" s="25">
        <f t="shared" si="4"/>
        <v>0</v>
      </c>
      <c r="F40" s="25">
        <f t="shared" si="4"/>
        <v>0</v>
      </c>
      <c r="G40" s="25">
        <f t="shared" si="4"/>
        <v>0</v>
      </c>
      <c r="H40" s="25">
        <f t="shared" si="4"/>
        <v>0</v>
      </c>
      <c r="I40" s="25">
        <f t="shared" si="4"/>
        <v>0</v>
      </c>
      <c r="J40" s="25">
        <f t="shared" si="4"/>
        <v>0</v>
      </c>
      <c r="K40" s="25">
        <f t="shared" si="4"/>
        <v>0</v>
      </c>
      <c r="L40" s="25">
        <f t="shared" si="4"/>
        <v>0</v>
      </c>
      <c r="M40" s="25">
        <f t="shared" si="5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hidden="1" customHeight="1">
      <c r="A41" s="2"/>
      <c r="B41" s="30"/>
      <c r="C41" s="25"/>
      <c r="D41" s="25"/>
      <c r="E41" s="25"/>
      <c r="F41" s="25"/>
      <c r="G41" s="25"/>
      <c r="H41" s="25"/>
      <c r="I41" s="25"/>
      <c r="J41" s="25">
        <f t="shared" ref="J41:L41" si="6">IF($B41&gt;(SUM($C41:I41)),IF(ISERROR($B41/$C$36),"",$B41/$C$36),0)</f>
        <v>0</v>
      </c>
      <c r="K41" s="25">
        <f t="shared" si="6"/>
        <v>0</v>
      </c>
      <c r="L41" s="25">
        <f t="shared" si="6"/>
        <v>0</v>
      </c>
      <c r="M41" s="25">
        <f t="shared" si="5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hidden="1" customHeight="1">
      <c r="A42" s="2" t="str">
        <f t="shared" ref="A42:B42" si="7">A19</f>
        <v>Logiciels, formations</v>
      </c>
      <c r="B42" s="29" t="str">
        <f t="shared" si="7"/>
        <v/>
      </c>
      <c r="C42" s="25">
        <f>IF(ISERROR($B42/$C$36),0,$B42/$C$36)</f>
        <v>0</v>
      </c>
      <c r="D42" s="25">
        <f t="shared" ref="D42:L42" si="8">IF($B42&gt;(SUM($C42:C42)),IF(ISERROR($B42/$C$36),"",$B42/$C$36),0)</f>
        <v>0</v>
      </c>
      <c r="E42" s="25">
        <f t="shared" si="8"/>
        <v>0</v>
      </c>
      <c r="F42" s="25">
        <f t="shared" si="8"/>
        <v>0</v>
      </c>
      <c r="G42" s="25">
        <f t="shared" si="8"/>
        <v>0</v>
      </c>
      <c r="H42" s="25">
        <f t="shared" si="8"/>
        <v>0</v>
      </c>
      <c r="I42" s="25">
        <f t="shared" si="8"/>
        <v>0</v>
      </c>
      <c r="J42" s="25">
        <f t="shared" si="8"/>
        <v>0</v>
      </c>
      <c r="K42" s="25">
        <f t="shared" si="8"/>
        <v>0</v>
      </c>
      <c r="L42" s="25">
        <f t="shared" si="8"/>
        <v>0</v>
      </c>
      <c r="M42" s="25">
        <f t="shared" si="5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hidden="1" customHeight="1">
      <c r="A43" s="2"/>
      <c r="B43" s="30"/>
      <c r="C43" s="25"/>
      <c r="D43" s="25"/>
      <c r="E43" s="25"/>
      <c r="F43" s="25"/>
      <c r="G43" s="25"/>
      <c r="H43" s="25"/>
      <c r="I43" s="25"/>
      <c r="J43" s="25">
        <f t="shared" ref="J43:L43" si="9">IF($B43&gt;(SUM($C43:I43)),IF(ISERROR($B43/$C$36),"",$B43/$C$36),0)</f>
        <v>0</v>
      </c>
      <c r="K43" s="25">
        <f t="shared" si="9"/>
        <v>0</v>
      </c>
      <c r="L43" s="25">
        <f t="shared" si="9"/>
        <v>0</v>
      </c>
      <c r="M43" s="25">
        <f t="shared" si="5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hidden="1" customHeight="1">
      <c r="A44" s="2" t="str">
        <f t="shared" ref="A44:B44" si="10">A21</f>
        <v>Droits d’entrée</v>
      </c>
      <c r="B44" s="29" t="str">
        <f t="shared" si="10"/>
        <v/>
      </c>
      <c r="C44" s="25">
        <f>IF(ISERROR($B44/$C$36),0,$B44/$C$36)</f>
        <v>0</v>
      </c>
      <c r="D44" s="25">
        <f t="shared" ref="D44:L44" si="11">IF($B44&gt;(SUM($C44:C44)),IF(ISERROR($B44/$C$36),"",$B44/$C$36),0)</f>
        <v>0</v>
      </c>
      <c r="E44" s="25">
        <f t="shared" si="11"/>
        <v>0</v>
      </c>
      <c r="F44" s="25">
        <f t="shared" si="11"/>
        <v>0</v>
      </c>
      <c r="G44" s="25">
        <f t="shared" si="11"/>
        <v>0</v>
      </c>
      <c r="H44" s="25">
        <f t="shared" si="11"/>
        <v>0</v>
      </c>
      <c r="I44" s="25">
        <f t="shared" si="11"/>
        <v>0</v>
      </c>
      <c r="J44" s="25">
        <f t="shared" si="11"/>
        <v>0</v>
      </c>
      <c r="K44" s="25">
        <f t="shared" si="11"/>
        <v>0</v>
      </c>
      <c r="L44" s="25">
        <f t="shared" si="11"/>
        <v>0</v>
      </c>
      <c r="M44" s="25">
        <f t="shared" si="5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hidden="1" customHeight="1">
      <c r="A45" s="2"/>
      <c r="B45" s="30"/>
      <c r="C45" s="25"/>
      <c r="D45" s="25"/>
      <c r="E45" s="25"/>
      <c r="F45" s="25"/>
      <c r="G45" s="25"/>
      <c r="H45" s="25"/>
      <c r="I45" s="25"/>
      <c r="J45" s="25">
        <f t="shared" ref="J45:L45" si="12">IF($B45&gt;(SUM($C45:I45)),IF(ISERROR($B45/$C$36),"",$B45/$C$36),0)</f>
        <v>0</v>
      </c>
      <c r="K45" s="25">
        <f t="shared" si="12"/>
        <v>0</v>
      </c>
      <c r="L45" s="25">
        <f t="shared" si="12"/>
        <v>0</v>
      </c>
      <c r="M45" s="25">
        <f t="shared" si="5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hidden="1" customHeight="1">
      <c r="A46" s="2"/>
      <c r="B46" s="30"/>
      <c r="C46" s="25"/>
      <c r="D46" s="25"/>
      <c r="E46" s="25"/>
      <c r="F46" s="25"/>
      <c r="G46" s="25"/>
      <c r="H46" s="25"/>
      <c r="I46" s="25"/>
      <c r="J46" s="25">
        <f t="shared" ref="J46:L46" si="13">IF($B46&gt;(SUM($C46:I46)),IF(ISERROR($B46/$C$36),"",$B46/$C$36),0)</f>
        <v>0</v>
      </c>
      <c r="K46" s="25">
        <f t="shared" si="13"/>
        <v>0</v>
      </c>
      <c r="L46" s="25">
        <f t="shared" si="13"/>
        <v>0</v>
      </c>
      <c r="M46" s="25">
        <f t="shared" si="5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hidden="1" customHeight="1">
      <c r="A47" s="2"/>
      <c r="B47" s="30"/>
      <c r="C47" s="25"/>
      <c r="D47" s="25"/>
      <c r="E47" s="25"/>
      <c r="F47" s="25"/>
      <c r="G47" s="25"/>
      <c r="H47" s="25"/>
      <c r="I47" s="25"/>
      <c r="J47" s="25">
        <f t="shared" ref="J47:L47" si="14">IF($B47&gt;(SUM($C47:I47)),IF(ISERROR($B47/$C$36),"",$B47/$C$36),0)</f>
        <v>0</v>
      </c>
      <c r="K47" s="25">
        <f t="shared" si="14"/>
        <v>0</v>
      </c>
      <c r="L47" s="25">
        <f t="shared" si="14"/>
        <v>0</v>
      </c>
      <c r="M47" s="25">
        <f t="shared" si="5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hidden="1" customHeight="1">
      <c r="A48" s="2" t="str">
        <f t="shared" ref="A48:B48" si="15">A25</f>
        <v>Frais de dossier</v>
      </c>
      <c r="B48" s="29" t="str">
        <f t="shared" si="15"/>
        <v/>
      </c>
      <c r="C48" s="25">
        <f t="shared" ref="C48:C54" si="18">IF(ISERROR($B48/$C$36),0,$B48/$C$36)</f>
        <v>0</v>
      </c>
      <c r="D48" s="25">
        <f t="shared" ref="D48:L48" si="16">IF($B48&gt;(SUM($C48:C48)),IF(ISERROR($B48/$C$36),"",$B48/$C$36),0)</f>
        <v>0</v>
      </c>
      <c r="E48" s="25">
        <f t="shared" si="16"/>
        <v>0</v>
      </c>
      <c r="F48" s="25">
        <f t="shared" si="16"/>
        <v>0</v>
      </c>
      <c r="G48" s="25">
        <f t="shared" si="16"/>
        <v>0</v>
      </c>
      <c r="H48" s="25">
        <f t="shared" si="16"/>
        <v>0</v>
      </c>
      <c r="I48" s="25">
        <f t="shared" si="16"/>
        <v>0</v>
      </c>
      <c r="J48" s="25">
        <f t="shared" si="16"/>
        <v>0</v>
      </c>
      <c r="K48" s="25">
        <f t="shared" si="16"/>
        <v>0</v>
      </c>
      <c r="L48" s="25">
        <f t="shared" si="16"/>
        <v>0</v>
      </c>
      <c r="M48" s="25">
        <f t="shared" si="5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hidden="1" customHeight="1">
      <c r="A49" s="2" t="str">
        <f t="shared" ref="A49:B49" si="17">A26</f>
        <v>Frais de notaire ou d’avocat</v>
      </c>
      <c r="B49" s="29" t="str">
        <f t="shared" si="17"/>
        <v/>
      </c>
      <c r="C49" s="25">
        <f t="shared" si="18"/>
        <v>0</v>
      </c>
      <c r="D49" s="25">
        <f t="shared" ref="D49:L49" si="19">IF($B49&gt;(SUM($C49:C49)),IF(ISERROR($B49/$C$36),"",$B49/$C$36),0)</f>
        <v>0</v>
      </c>
      <c r="E49" s="25">
        <f t="shared" si="19"/>
        <v>0</v>
      </c>
      <c r="F49" s="25">
        <f t="shared" si="19"/>
        <v>0</v>
      </c>
      <c r="G49" s="25">
        <f t="shared" si="19"/>
        <v>0</v>
      </c>
      <c r="H49" s="25">
        <f t="shared" si="19"/>
        <v>0</v>
      </c>
      <c r="I49" s="25">
        <f t="shared" si="19"/>
        <v>0</v>
      </c>
      <c r="J49" s="25">
        <f t="shared" si="19"/>
        <v>0</v>
      </c>
      <c r="K49" s="25">
        <f t="shared" si="19"/>
        <v>0</v>
      </c>
      <c r="L49" s="25">
        <f t="shared" si="19"/>
        <v>0</v>
      </c>
      <c r="M49" s="25">
        <f t="shared" si="5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hidden="1" customHeight="1">
      <c r="A50" s="2" t="str">
        <f t="shared" ref="A50:B50" si="20">A27</f>
        <v>Enseigne et éléments de communication</v>
      </c>
      <c r="B50" s="29">
        <f t="shared" si="20"/>
        <v>4200</v>
      </c>
      <c r="C50" s="25">
        <f t="shared" si="18"/>
        <v>840</v>
      </c>
      <c r="D50" s="25">
        <f t="shared" ref="D50:L50" si="21">IF($B50&gt;(SUM($C50:C50)),IF(ISERROR($B50/$C$36),"",$B50/$C$36),0)</f>
        <v>840</v>
      </c>
      <c r="E50" s="25">
        <f t="shared" si="21"/>
        <v>840</v>
      </c>
      <c r="F50" s="25">
        <f t="shared" si="21"/>
        <v>840</v>
      </c>
      <c r="G50" s="25">
        <f t="shared" si="21"/>
        <v>840</v>
      </c>
      <c r="H50" s="25">
        <f t="shared" si="21"/>
        <v>0</v>
      </c>
      <c r="I50" s="25">
        <f t="shared" si="21"/>
        <v>0</v>
      </c>
      <c r="J50" s="25">
        <f t="shared" si="21"/>
        <v>0</v>
      </c>
      <c r="K50" s="25">
        <f t="shared" si="21"/>
        <v>0</v>
      </c>
      <c r="L50" s="25">
        <f t="shared" si="21"/>
        <v>0</v>
      </c>
      <c r="M50" s="25">
        <f t="shared" si="5"/>
        <v>4200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hidden="1" customHeight="1">
      <c r="A51" s="2" t="str">
        <f t="shared" ref="A51:B51" si="22">A28</f>
        <v>Achat immobilier</v>
      </c>
      <c r="B51" s="29" t="str">
        <f t="shared" si="22"/>
        <v/>
      </c>
      <c r="C51" s="25">
        <f t="shared" si="18"/>
        <v>0</v>
      </c>
      <c r="D51" s="25">
        <f t="shared" ref="D51:L51" si="23">IF($B51&gt;(SUM($C51:C51)),IF(ISERROR($B51/$C$36),"",$B51/$C$36),0)</f>
        <v>0</v>
      </c>
      <c r="E51" s="25">
        <f t="shared" si="23"/>
        <v>0</v>
      </c>
      <c r="F51" s="25">
        <f t="shared" si="23"/>
        <v>0</v>
      </c>
      <c r="G51" s="25">
        <f t="shared" si="23"/>
        <v>0</v>
      </c>
      <c r="H51" s="25">
        <f t="shared" si="23"/>
        <v>0</v>
      </c>
      <c r="I51" s="25">
        <f t="shared" si="23"/>
        <v>0</v>
      </c>
      <c r="J51" s="25">
        <f t="shared" si="23"/>
        <v>0</v>
      </c>
      <c r="K51" s="25">
        <f t="shared" si="23"/>
        <v>0</v>
      </c>
      <c r="L51" s="25">
        <f t="shared" si="23"/>
        <v>0</v>
      </c>
      <c r="M51" s="25">
        <f t="shared" si="5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hidden="1" customHeight="1">
      <c r="A52" s="2" t="str">
        <f t="shared" ref="A52:B52" si="24">A29</f>
        <v>Travaux et aménagements</v>
      </c>
      <c r="B52" s="29" t="str">
        <f t="shared" si="24"/>
        <v/>
      </c>
      <c r="C52" s="25">
        <f t="shared" si="18"/>
        <v>0</v>
      </c>
      <c r="D52" s="25">
        <f t="shared" ref="D52:L52" si="25">IF($B52&gt;(SUM($C52:C52)),IF(ISERROR($B52/$C$36),"",$B52/$C$36),0)</f>
        <v>0</v>
      </c>
      <c r="E52" s="25">
        <f t="shared" si="25"/>
        <v>0</v>
      </c>
      <c r="F52" s="25">
        <f t="shared" si="25"/>
        <v>0</v>
      </c>
      <c r="G52" s="25">
        <f t="shared" si="25"/>
        <v>0</v>
      </c>
      <c r="H52" s="25">
        <f t="shared" si="25"/>
        <v>0</v>
      </c>
      <c r="I52" s="25">
        <f t="shared" si="25"/>
        <v>0</v>
      </c>
      <c r="J52" s="25">
        <f t="shared" si="25"/>
        <v>0</v>
      </c>
      <c r="K52" s="25">
        <f t="shared" si="25"/>
        <v>0</v>
      </c>
      <c r="L52" s="25">
        <f t="shared" si="25"/>
        <v>0</v>
      </c>
      <c r="M52" s="25">
        <f t="shared" si="5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hidden="1" customHeight="1">
      <c r="A53" s="2" t="str">
        <f t="shared" ref="A53:B53" si="26">A30</f>
        <v>Matériel</v>
      </c>
      <c r="B53" s="29">
        <f t="shared" si="26"/>
        <v>7200</v>
      </c>
      <c r="C53" s="25">
        <f t="shared" si="18"/>
        <v>1440</v>
      </c>
      <c r="D53" s="25">
        <f t="shared" ref="D53:L53" si="27">IF($B53&gt;(SUM($C53:C53)),IF(ISERROR($B53/$C$36),"",$B53/$C$36),0)</f>
        <v>1440</v>
      </c>
      <c r="E53" s="25">
        <f t="shared" si="27"/>
        <v>1440</v>
      </c>
      <c r="F53" s="25">
        <f t="shared" si="27"/>
        <v>1440</v>
      </c>
      <c r="G53" s="25">
        <f t="shared" si="27"/>
        <v>1440</v>
      </c>
      <c r="H53" s="25">
        <f t="shared" si="27"/>
        <v>0</v>
      </c>
      <c r="I53" s="25">
        <f t="shared" si="27"/>
        <v>0</v>
      </c>
      <c r="J53" s="25">
        <f t="shared" si="27"/>
        <v>0</v>
      </c>
      <c r="K53" s="25">
        <f t="shared" si="27"/>
        <v>0</v>
      </c>
      <c r="L53" s="25">
        <f t="shared" si="27"/>
        <v>0</v>
      </c>
      <c r="M53" s="25">
        <f t="shared" si="5"/>
        <v>7200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hidden="1" customHeight="1">
      <c r="A54" s="2" t="str">
        <f t="shared" ref="A54:B54" si="28">A31</f>
        <v>Matériel de bureau</v>
      </c>
      <c r="B54" s="29" t="str">
        <f t="shared" si="28"/>
        <v/>
      </c>
      <c r="C54" s="25">
        <f t="shared" si="18"/>
        <v>0</v>
      </c>
      <c r="D54" s="25">
        <f t="shared" ref="D54:L54" si="29">IF($B54&gt;(SUM($C54:C54)),IF(ISERROR($B54/$C$36),"",$B54/$C$36),0)</f>
        <v>0</v>
      </c>
      <c r="E54" s="25">
        <f t="shared" si="29"/>
        <v>0</v>
      </c>
      <c r="F54" s="25">
        <f t="shared" si="29"/>
        <v>0</v>
      </c>
      <c r="G54" s="25">
        <f t="shared" si="29"/>
        <v>0</v>
      </c>
      <c r="H54" s="25">
        <f t="shared" si="29"/>
        <v>0</v>
      </c>
      <c r="I54" s="25">
        <f t="shared" si="29"/>
        <v>0</v>
      </c>
      <c r="J54" s="25">
        <f t="shared" si="29"/>
        <v>0</v>
      </c>
      <c r="K54" s="25">
        <f t="shared" si="29"/>
        <v>0</v>
      </c>
      <c r="L54" s="25">
        <f t="shared" si="29"/>
        <v>0</v>
      </c>
      <c r="M54" s="25">
        <f t="shared" si="5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hidden="1" customHeight="1">
      <c r="A55" s="31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72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16" t="s">
        <v>26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14" t="s">
        <v>73</v>
      </c>
      <c r="B59" s="17">
        <v>18050.0</v>
      </c>
      <c r="C59" s="8"/>
      <c r="D59" s="2"/>
      <c r="E59" s="2"/>
      <c r="F59" s="2"/>
      <c r="G59" s="32"/>
      <c r="H59" s="3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14" t="s">
        <v>74</v>
      </c>
      <c r="B60" s="17">
        <v>2600.0</v>
      </c>
      <c r="C60" s="33" t="s">
        <v>75</v>
      </c>
      <c r="D60" s="33" t="s">
        <v>76</v>
      </c>
      <c r="E60" s="2"/>
      <c r="F60" s="2"/>
      <c r="G60" s="32"/>
      <c r="H60" s="3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34" t="s">
        <v>77</v>
      </c>
      <c r="B61" s="18"/>
      <c r="C61" s="35"/>
      <c r="D61" s="36"/>
      <c r="E61" s="37"/>
      <c r="F61" s="38"/>
      <c r="G61" s="32"/>
      <c r="H61" s="3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34" t="s">
        <v>78</v>
      </c>
      <c r="B62" s="18"/>
      <c r="C62" s="35"/>
      <c r="D62" s="36"/>
      <c r="E62" s="2"/>
      <c r="F62" s="2"/>
      <c r="G62" s="32"/>
      <c r="H62" s="3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34" t="s">
        <v>79</v>
      </c>
      <c r="B63" s="18"/>
      <c r="C63" s="35"/>
      <c r="D63" s="36"/>
      <c r="E63" s="2"/>
      <c r="F63" s="2"/>
      <c r="G63" s="32"/>
      <c r="H63" s="3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34" t="s">
        <v>80</v>
      </c>
      <c r="B64" s="18"/>
      <c r="C64" s="8"/>
      <c r="D64" s="2"/>
      <c r="E64" s="2"/>
      <c r="F64" s="2"/>
      <c r="G64" s="32"/>
      <c r="H64" s="3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34" t="s">
        <v>81</v>
      </c>
      <c r="B65" s="18"/>
      <c r="C65" s="8"/>
      <c r="D65" s="2"/>
      <c r="E65" s="2"/>
      <c r="F65" s="2"/>
      <c r="G65" s="32"/>
      <c r="H65" s="3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4" t="s">
        <v>82</v>
      </c>
      <c r="B66" s="18"/>
      <c r="C66" s="8"/>
      <c r="D66" s="2"/>
      <c r="E66" s="2"/>
      <c r="F66" s="2"/>
      <c r="G66" s="32"/>
      <c r="H66" s="3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0" t="s">
        <v>58</v>
      </c>
      <c r="B67" s="21">
        <f>SUM(B59:B66)</f>
        <v>20650</v>
      </c>
      <c r="C67" s="39" t="str">
        <f>IF(B67=B34,"","Le total doit être égal au total du tableau précédent, veuillez modifier les chiffres")</f>
        <v/>
      </c>
      <c r="D67" s="2"/>
      <c r="E67" s="2"/>
      <c r="F67" s="2"/>
      <c r="G67" s="32"/>
      <c r="H67" s="3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0"/>
      <c r="B68" s="40"/>
      <c r="C68" s="39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hidden="1" customHeight="1">
      <c r="A69" s="1" t="s">
        <v>83</v>
      </c>
      <c r="B69" s="20" t="s">
        <v>84</v>
      </c>
      <c r="C69" s="41" t="s">
        <v>85</v>
      </c>
      <c r="D69" s="42" t="s">
        <v>86</v>
      </c>
      <c r="E69" s="20" t="s">
        <v>87</v>
      </c>
      <c r="F69" s="20" t="s">
        <v>88</v>
      </c>
      <c r="G69" s="43" t="s">
        <v>89</v>
      </c>
      <c r="H69" s="43" t="s">
        <v>90</v>
      </c>
      <c r="I69" s="43" t="s">
        <v>91</v>
      </c>
      <c r="J69" s="43" t="s">
        <v>92</v>
      </c>
      <c r="K69" s="43" t="s">
        <v>93</v>
      </c>
      <c r="L69" s="43" t="s">
        <v>94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hidden="1" customHeight="1">
      <c r="A70" s="2" t="s">
        <v>95</v>
      </c>
      <c r="B70" s="44">
        <f t="shared" ref="B70:B72" si="30">IF(ISERROR((PMT(C61/12,D61,B61))*-1),0,(PMT(C61/12,D61,B61))*-1)</f>
        <v>0</v>
      </c>
      <c r="C70" s="40">
        <f t="shared" ref="C70:C72" si="31">B70*D61</f>
        <v>0</v>
      </c>
      <c r="D70" s="42">
        <f t="shared" ref="D70:D72" si="32">IF(ISERROR(B61/D61),0,B61/D61)</f>
        <v>0</v>
      </c>
      <c r="E70" s="45">
        <f t="shared" ref="E70:E72" si="33">B70-D70</f>
        <v>0</v>
      </c>
      <c r="F70" s="44">
        <f t="shared" ref="F70:F72" si="34">E70*D61</f>
        <v>0</v>
      </c>
      <c r="G70" s="46">
        <f t="shared" ref="G70:G72" si="35">IF($D61&gt;12,$E70*12,$E70*$D61)</f>
        <v>0</v>
      </c>
      <c r="H70" s="46">
        <f t="shared" ref="H70:H72" si="36">IF($D61-12&lt;0,0,IF($D61&gt;24,$E70*12,($D61-12)*$E70))</f>
        <v>0</v>
      </c>
      <c r="I70" s="46">
        <f t="shared" ref="I70:I72" si="37">IF($D61-24&lt;0,0,IF($D61&gt;36,$E70*12,($D61-24)*$E70))</f>
        <v>0</v>
      </c>
      <c r="J70" s="46">
        <f t="shared" ref="J70:J72" si="38">IF($D61&gt;12,$D70*12,$D70*$D61)</f>
        <v>0</v>
      </c>
      <c r="K70" s="46">
        <f t="shared" ref="K70:K72" si="39">IF($D61-12&lt;0,0,IF($D61&gt;24,$D70*12,($D61-12)*$D70))</f>
        <v>0</v>
      </c>
      <c r="L70" s="46">
        <f t="shared" ref="L70:L72" si="40">IF($D61-24&lt;0,0,IF($D61&gt;36,$D70*12,($D61-24)*$D70))</f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hidden="1" customHeight="1">
      <c r="A71" s="2" t="s">
        <v>96</v>
      </c>
      <c r="B71" s="44">
        <f t="shared" si="30"/>
        <v>0</v>
      </c>
      <c r="C71" s="40">
        <f t="shared" si="31"/>
        <v>0</v>
      </c>
      <c r="D71" s="42">
        <f t="shared" si="32"/>
        <v>0</v>
      </c>
      <c r="E71" s="45">
        <f t="shared" si="33"/>
        <v>0</v>
      </c>
      <c r="F71" s="44">
        <f t="shared" si="34"/>
        <v>0</v>
      </c>
      <c r="G71" s="46">
        <f t="shared" si="35"/>
        <v>0</v>
      </c>
      <c r="H71" s="46">
        <f t="shared" si="36"/>
        <v>0</v>
      </c>
      <c r="I71" s="46">
        <f t="shared" si="37"/>
        <v>0</v>
      </c>
      <c r="J71" s="46">
        <f t="shared" si="38"/>
        <v>0</v>
      </c>
      <c r="K71" s="46">
        <f t="shared" si="39"/>
        <v>0</v>
      </c>
      <c r="L71" s="46">
        <f t="shared" si="40"/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hidden="1" customHeight="1">
      <c r="A72" s="2" t="s">
        <v>97</v>
      </c>
      <c r="B72" s="44">
        <f t="shared" si="30"/>
        <v>0</v>
      </c>
      <c r="C72" s="40">
        <f t="shared" si="31"/>
        <v>0</v>
      </c>
      <c r="D72" s="42">
        <f t="shared" si="32"/>
        <v>0</v>
      </c>
      <c r="E72" s="45">
        <f t="shared" si="33"/>
        <v>0</v>
      </c>
      <c r="F72" s="44">
        <f t="shared" si="34"/>
        <v>0</v>
      </c>
      <c r="G72" s="46">
        <f t="shared" si="35"/>
        <v>0</v>
      </c>
      <c r="H72" s="46">
        <f t="shared" si="36"/>
        <v>0</v>
      </c>
      <c r="I72" s="46">
        <f t="shared" si="37"/>
        <v>0</v>
      </c>
      <c r="J72" s="46">
        <f t="shared" si="38"/>
        <v>0</v>
      </c>
      <c r="K72" s="46">
        <f t="shared" si="39"/>
        <v>0</v>
      </c>
      <c r="L72" s="46">
        <f t="shared" si="40"/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9.25" customHeight="1">
      <c r="A73" s="47" t="s">
        <v>98</v>
      </c>
      <c r="B73" s="2"/>
      <c r="C73" s="2"/>
      <c r="D73" s="2"/>
      <c r="E73" s="2"/>
      <c r="F73" s="2"/>
      <c r="G73" s="2"/>
      <c r="H73" s="40"/>
      <c r="I73" s="48">
        <f t="shared" ref="I73:L73" si="41">SUM(I70:I72)</f>
        <v>0</v>
      </c>
      <c r="J73" s="49">
        <f t="shared" si="41"/>
        <v>0</v>
      </c>
      <c r="K73" s="49">
        <f t="shared" si="41"/>
        <v>0</v>
      </c>
      <c r="L73" s="49">
        <f t="shared" si="41"/>
        <v>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" t="s">
        <v>99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50" t="s">
        <v>100</v>
      </c>
      <c r="C76" s="50" t="s">
        <v>101</v>
      </c>
      <c r="D76" s="50" t="s">
        <v>102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4" t="s">
        <v>103</v>
      </c>
      <c r="B77" s="51">
        <f>100*12</f>
        <v>1200</v>
      </c>
      <c r="C77" s="52"/>
      <c r="D77" s="5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14" t="s">
        <v>104</v>
      </c>
      <c r="B78" s="51">
        <f>50*12</f>
        <v>600</v>
      </c>
      <c r="C78" s="51"/>
      <c r="D78" s="51"/>
      <c r="E78" s="2"/>
      <c r="F78" s="2"/>
      <c r="G78" s="32"/>
      <c r="H78" s="3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14" t="s">
        <v>105</v>
      </c>
      <c r="B79" s="51">
        <f>60*12</f>
        <v>720</v>
      </c>
      <c r="C79" s="51"/>
      <c r="D79" s="51"/>
      <c r="E79" s="2"/>
      <c r="F79" s="2"/>
      <c r="G79" s="32"/>
      <c r="H79" s="3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14" t="s">
        <v>106</v>
      </c>
      <c r="B80" s="51"/>
      <c r="C80" s="51"/>
      <c r="D80" s="51"/>
      <c r="E80" s="2"/>
      <c r="F80" s="2"/>
      <c r="G80" s="32"/>
      <c r="H80" s="3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14" t="s">
        <v>107</v>
      </c>
      <c r="B81" s="51"/>
      <c r="C81" s="51"/>
      <c r="D81" s="51"/>
      <c r="E81" s="2"/>
      <c r="F81" s="2"/>
      <c r="G81" s="32"/>
      <c r="H81" s="3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14" t="s">
        <v>108</v>
      </c>
      <c r="B82" s="51"/>
      <c r="C82" s="51"/>
      <c r="D82" s="51"/>
      <c r="E82" s="2"/>
      <c r="F82" s="2"/>
      <c r="G82" s="32"/>
      <c r="H82" s="3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14" t="s">
        <v>109</v>
      </c>
      <c r="B83" s="51"/>
      <c r="C83" s="51"/>
      <c r="D83" s="51"/>
      <c r="E83" s="8"/>
      <c r="F83" s="2"/>
      <c r="G83" s="32"/>
      <c r="H83" s="3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14" t="s">
        <v>110</v>
      </c>
      <c r="B84" s="51"/>
      <c r="C84" s="51"/>
      <c r="D84" s="53"/>
      <c r="E84" s="8"/>
      <c r="F84" s="2"/>
      <c r="G84" s="32"/>
      <c r="H84" s="3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14" t="s">
        <v>111</v>
      </c>
      <c r="B85" s="51"/>
      <c r="C85" s="52"/>
      <c r="D85" s="53"/>
      <c r="E85" s="8"/>
      <c r="F85" s="54"/>
      <c r="G85" s="32"/>
      <c r="H85" s="3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14" t="s">
        <v>112</v>
      </c>
      <c r="B86" s="51"/>
      <c r="C86" s="52"/>
      <c r="D86" s="53"/>
      <c r="E86" s="8"/>
      <c r="F86" s="2"/>
      <c r="G86" s="32"/>
      <c r="H86" s="3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4" t="s">
        <v>113</v>
      </c>
      <c r="B87" s="55">
        <f>350*12</f>
        <v>4200</v>
      </c>
      <c r="C87" s="52"/>
      <c r="D87" s="53"/>
      <c r="E87" s="8"/>
      <c r="F87" s="2"/>
      <c r="G87" s="32"/>
      <c r="H87" s="3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4" t="s">
        <v>114</v>
      </c>
      <c r="B88" s="51">
        <f>280*12</f>
        <v>3360</v>
      </c>
      <c r="C88" s="52"/>
      <c r="D88" s="53"/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4" t="s">
        <v>115</v>
      </c>
      <c r="B89" s="51"/>
      <c r="C89" s="52"/>
      <c r="D89" s="53"/>
      <c r="E89" s="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4" t="s">
        <v>116</v>
      </c>
      <c r="B90" s="51"/>
      <c r="C90" s="52"/>
      <c r="D90" s="53"/>
      <c r="E90" s="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4" t="s">
        <v>117</v>
      </c>
      <c r="B91" s="51"/>
      <c r="C91" s="52"/>
      <c r="D91" s="53"/>
      <c r="E91" s="22"/>
      <c r="F91" s="2"/>
      <c r="G91" s="2">
        <f>300/7</f>
        <v>42.85714286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5" t="s">
        <v>118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6" t="s">
        <v>119</v>
      </c>
      <c r="B93" s="51"/>
      <c r="C93" s="52"/>
      <c r="D93" s="5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6" t="s">
        <v>120</v>
      </c>
      <c r="B94" s="51"/>
      <c r="C94" s="52"/>
      <c r="D94" s="53"/>
      <c r="E94" s="2"/>
      <c r="F94" s="2"/>
      <c r="G94" s="2">
        <f>I94*H94</f>
        <v>13.33333333</v>
      </c>
      <c r="H94" s="2">
        <f>350*4</f>
        <v>1400</v>
      </c>
      <c r="I94" s="2">
        <f>100/10500</f>
        <v>0.009523809524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6" t="s">
        <v>121</v>
      </c>
      <c r="B95" s="51"/>
      <c r="C95" s="52"/>
      <c r="D95" s="5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0" t="s">
        <v>58</v>
      </c>
      <c r="B97" s="21">
        <f t="shared" ref="B97:D97" si="42">SUM(B77:B95)</f>
        <v>10080</v>
      </c>
      <c r="C97" s="21">
        <f t="shared" si="42"/>
        <v>0</v>
      </c>
      <c r="D97" s="21">
        <f t="shared" si="42"/>
        <v>0</v>
      </c>
      <c r="E97" s="2"/>
      <c r="F97" s="2"/>
      <c r="G97" s="2">
        <f>350*7</f>
        <v>2450</v>
      </c>
      <c r="H97" s="2">
        <f>100/2450</f>
        <v>0.04081632653</v>
      </c>
      <c r="I97" s="2">
        <f>H97*350</f>
        <v>14.28571429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7" t="s">
        <v>122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 t="s">
        <v>123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7" t="s">
        <v>124</v>
      </c>
      <c r="B102" s="58" t="s">
        <v>125</v>
      </c>
      <c r="C102" s="59" t="s">
        <v>126</v>
      </c>
      <c r="D102" s="58" t="s">
        <v>127</v>
      </c>
      <c r="E102" s="2"/>
      <c r="F102" s="60" t="s">
        <v>128</v>
      </c>
      <c r="G102" s="58" t="s">
        <v>125</v>
      </c>
      <c r="H102" s="58" t="s">
        <v>126</v>
      </c>
      <c r="I102" s="58" t="s">
        <v>127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61" t="s">
        <v>129</v>
      </c>
      <c r="B103" s="62">
        <v>22.0</v>
      </c>
      <c r="C103" s="17">
        <v>330.0</v>
      </c>
      <c r="D103" s="38">
        <f t="shared" ref="D103:D114" si="43">B103*C103</f>
        <v>7260</v>
      </c>
      <c r="E103" s="2"/>
      <c r="F103" s="63" t="s">
        <v>129</v>
      </c>
      <c r="G103" s="64"/>
      <c r="H103" s="18"/>
      <c r="I103" s="38">
        <f t="shared" ref="I103:I114" si="44">G103*H103</f>
        <v>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61" t="s">
        <v>130</v>
      </c>
      <c r="B104" s="62">
        <v>22.0</v>
      </c>
      <c r="C104" s="17">
        <v>330.0</v>
      </c>
      <c r="D104" s="38">
        <f t="shared" si="43"/>
        <v>7260</v>
      </c>
      <c r="E104" s="2"/>
      <c r="F104" s="63" t="s">
        <v>130</v>
      </c>
      <c r="G104" s="64"/>
      <c r="H104" s="18"/>
      <c r="I104" s="38">
        <f t="shared" si="44"/>
        <v>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61" t="s">
        <v>131</v>
      </c>
      <c r="B105" s="62">
        <v>22.0</v>
      </c>
      <c r="C105" s="17">
        <v>330.0</v>
      </c>
      <c r="D105" s="38">
        <f t="shared" si="43"/>
        <v>7260</v>
      </c>
      <c r="E105" s="2"/>
      <c r="F105" s="63" t="s">
        <v>131</v>
      </c>
      <c r="G105" s="64"/>
      <c r="H105" s="18"/>
      <c r="I105" s="38">
        <f t="shared" si="44"/>
        <v>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61" t="s">
        <v>132</v>
      </c>
      <c r="B106" s="62">
        <v>22.0</v>
      </c>
      <c r="C106" s="17">
        <v>330.0</v>
      </c>
      <c r="D106" s="38">
        <f t="shared" si="43"/>
        <v>7260</v>
      </c>
      <c r="E106" s="2"/>
      <c r="F106" s="63" t="s">
        <v>132</v>
      </c>
      <c r="G106" s="64"/>
      <c r="H106" s="18"/>
      <c r="I106" s="38">
        <f t="shared" si="44"/>
        <v>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61" t="s">
        <v>133</v>
      </c>
      <c r="B107" s="62">
        <v>22.0</v>
      </c>
      <c r="C107" s="17">
        <v>330.0</v>
      </c>
      <c r="D107" s="38">
        <f t="shared" si="43"/>
        <v>7260</v>
      </c>
      <c r="E107" s="2"/>
      <c r="F107" s="63" t="s">
        <v>133</v>
      </c>
      <c r="G107" s="64"/>
      <c r="H107" s="18"/>
      <c r="I107" s="38">
        <f t="shared" si="44"/>
        <v>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61" t="s">
        <v>134</v>
      </c>
      <c r="B108" s="62">
        <v>22.0</v>
      </c>
      <c r="C108" s="17">
        <v>330.0</v>
      </c>
      <c r="D108" s="38">
        <f t="shared" si="43"/>
        <v>7260</v>
      </c>
      <c r="E108" s="2"/>
      <c r="F108" s="63" t="s">
        <v>134</v>
      </c>
      <c r="G108" s="64"/>
      <c r="H108" s="18"/>
      <c r="I108" s="38">
        <f t="shared" si="44"/>
        <v>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61" t="s">
        <v>135</v>
      </c>
      <c r="B109" s="62">
        <v>22.0</v>
      </c>
      <c r="C109" s="17">
        <v>330.0</v>
      </c>
      <c r="D109" s="38">
        <f t="shared" si="43"/>
        <v>7260</v>
      </c>
      <c r="E109" s="2"/>
      <c r="F109" s="63" t="s">
        <v>135</v>
      </c>
      <c r="G109" s="64"/>
      <c r="H109" s="18"/>
      <c r="I109" s="38">
        <f t="shared" si="44"/>
        <v>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61" t="s">
        <v>136</v>
      </c>
      <c r="B110" s="62">
        <v>22.0</v>
      </c>
      <c r="C110" s="17">
        <v>330.0</v>
      </c>
      <c r="D110" s="38">
        <f t="shared" si="43"/>
        <v>7260</v>
      </c>
      <c r="E110" s="2"/>
      <c r="F110" s="63" t="s">
        <v>136</v>
      </c>
      <c r="G110" s="64"/>
      <c r="H110" s="18"/>
      <c r="I110" s="38">
        <f t="shared" si="44"/>
        <v>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61" t="s">
        <v>137</v>
      </c>
      <c r="B111" s="62">
        <v>22.0</v>
      </c>
      <c r="C111" s="17">
        <v>330.0</v>
      </c>
      <c r="D111" s="38">
        <f t="shared" si="43"/>
        <v>7260</v>
      </c>
      <c r="E111" s="2"/>
      <c r="F111" s="63" t="s">
        <v>137</v>
      </c>
      <c r="G111" s="64"/>
      <c r="H111" s="18"/>
      <c r="I111" s="38">
        <f t="shared" si="44"/>
        <v>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61" t="s">
        <v>138</v>
      </c>
      <c r="B112" s="62">
        <v>22.0</v>
      </c>
      <c r="C112" s="17">
        <v>330.0</v>
      </c>
      <c r="D112" s="38">
        <f t="shared" si="43"/>
        <v>7260</v>
      </c>
      <c r="E112" s="2"/>
      <c r="F112" s="63" t="s">
        <v>138</v>
      </c>
      <c r="G112" s="64"/>
      <c r="H112" s="18"/>
      <c r="I112" s="38">
        <f t="shared" si="44"/>
        <v>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61" t="s">
        <v>139</v>
      </c>
      <c r="B113" s="62">
        <v>22.0</v>
      </c>
      <c r="C113" s="17">
        <v>330.0</v>
      </c>
      <c r="D113" s="38">
        <f t="shared" si="43"/>
        <v>7260</v>
      </c>
      <c r="E113" s="2"/>
      <c r="F113" s="63" t="s">
        <v>139</v>
      </c>
      <c r="G113" s="64"/>
      <c r="H113" s="18"/>
      <c r="I113" s="38">
        <f t="shared" si="44"/>
        <v>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61" t="s">
        <v>140</v>
      </c>
      <c r="B114" s="62">
        <v>22.0</v>
      </c>
      <c r="C114" s="17">
        <v>330.0</v>
      </c>
      <c r="D114" s="38">
        <f t="shared" si="43"/>
        <v>7260</v>
      </c>
      <c r="E114" s="2"/>
      <c r="F114" s="63" t="s">
        <v>140</v>
      </c>
      <c r="G114" s="64"/>
      <c r="H114" s="18"/>
      <c r="I114" s="38">
        <f t="shared" si="44"/>
        <v>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5" t="s">
        <v>58</v>
      </c>
      <c r="B115" s="2"/>
      <c r="C115" s="2"/>
      <c r="D115" s="21">
        <f>SUM(D103:D114)</f>
        <v>87120</v>
      </c>
      <c r="E115" s="2"/>
      <c r="F115" s="65" t="s">
        <v>58</v>
      </c>
      <c r="G115" s="2"/>
      <c r="H115" s="2"/>
      <c r="I115" s="21">
        <f>SUM(I103:I114)</f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6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 t="s">
        <v>141</v>
      </c>
      <c r="B117" s="2"/>
      <c r="C117" s="2"/>
      <c r="D117" s="67">
        <v>0.3</v>
      </c>
      <c r="E117" s="2"/>
      <c r="F117" s="65" t="s">
        <v>142</v>
      </c>
      <c r="G117" s="2"/>
      <c r="H117" s="2"/>
      <c r="I117" s="6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 t="s">
        <v>143</v>
      </c>
      <c r="B118" s="2"/>
      <c r="C118" s="2"/>
      <c r="D118" s="67">
        <v>0.5</v>
      </c>
      <c r="E118" s="2"/>
      <c r="F118" s="65" t="s">
        <v>144</v>
      </c>
      <c r="G118" s="2"/>
      <c r="H118" s="2"/>
      <c r="I118" s="6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7" t="s">
        <v>145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7.25" customHeight="1">
      <c r="A121" s="69" t="s">
        <v>146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5" t="s">
        <v>147</v>
      </c>
      <c r="B123" s="2"/>
      <c r="C123" s="2"/>
      <c r="D123" s="70">
        <v>0.3</v>
      </c>
      <c r="E123" s="24" t="s">
        <v>148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7" t="s">
        <v>149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47"/>
      <c r="B126" s="2"/>
      <c r="C126" s="2"/>
      <c r="D126" s="2"/>
      <c r="E126" s="2"/>
      <c r="F126" s="2"/>
      <c r="G126" s="71"/>
      <c r="H126" s="7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43"/>
      <c r="C127" s="43" t="s">
        <v>150</v>
      </c>
      <c r="D127" s="72">
        <v>0.0</v>
      </c>
      <c r="E127" s="24" t="s">
        <v>151</v>
      </c>
      <c r="F127" s="2"/>
      <c r="G127" s="71"/>
      <c r="H127" s="7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5"/>
      <c r="B128" s="2"/>
      <c r="C128" s="43" t="s">
        <v>152</v>
      </c>
      <c r="D128" s="72">
        <v>0.0</v>
      </c>
      <c r="E128" s="24" t="s">
        <v>153</v>
      </c>
      <c r="F128" s="2"/>
      <c r="G128" s="71"/>
      <c r="H128" s="7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2"/>
      <c r="B129" s="2"/>
      <c r="C129" s="2"/>
      <c r="D129" s="2"/>
      <c r="E129" s="2"/>
      <c r="F129" s="2"/>
      <c r="G129" s="71"/>
      <c r="H129" s="7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47" t="s">
        <v>154</v>
      </c>
      <c r="B130" s="2"/>
      <c r="C130" s="2"/>
      <c r="D130" s="2"/>
      <c r="E130" s="2"/>
      <c r="F130" s="2"/>
      <c r="G130" s="71"/>
      <c r="H130" s="7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2"/>
      <c r="B131" s="2"/>
      <c r="C131" s="2"/>
      <c r="D131" s="2"/>
      <c r="E131" s="2"/>
      <c r="F131" s="2"/>
      <c r="G131" s="71"/>
      <c r="H131" s="7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2"/>
      <c r="B132" s="20" t="s">
        <v>62</v>
      </c>
      <c r="C132" s="20" t="s">
        <v>63</v>
      </c>
      <c r="D132" s="20" t="s">
        <v>64</v>
      </c>
      <c r="E132" s="2"/>
      <c r="F132" s="2"/>
      <c r="G132" s="71"/>
      <c r="H132" s="7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2" t="s">
        <v>155</v>
      </c>
      <c r="B133" s="51">
        <f>550*12</f>
        <v>6600</v>
      </c>
      <c r="C133" s="51"/>
      <c r="D133" s="51"/>
      <c r="E133" s="24" t="s">
        <v>156</v>
      </c>
      <c r="F133" s="2"/>
      <c r="G133" s="71"/>
      <c r="H133" s="7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2" t="s">
        <v>157</v>
      </c>
      <c r="B134" s="51"/>
      <c r="C134" s="52"/>
      <c r="D134" s="53"/>
      <c r="E134" s="24" t="s">
        <v>158</v>
      </c>
      <c r="F134" s="2"/>
      <c r="G134" s="71"/>
      <c r="H134" s="7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2"/>
      <c r="B135" s="20" t="s">
        <v>62</v>
      </c>
      <c r="C135" s="20" t="s">
        <v>63</v>
      </c>
      <c r="D135" s="20" t="s">
        <v>64</v>
      </c>
      <c r="E135" s="24"/>
      <c r="F135" s="2"/>
      <c r="G135" s="71"/>
      <c r="H135" s="7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2" t="s">
        <v>159</v>
      </c>
      <c r="B136" s="51"/>
      <c r="C136" s="51"/>
      <c r="D136" s="51"/>
      <c r="E136" s="24" t="s">
        <v>160</v>
      </c>
      <c r="F136" s="2"/>
      <c r="G136" s="71"/>
      <c r="H136" s="7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2" t="s">
        <v>161</v>
      </c>
      <c r="B137" s="51"/>
      <c r="C137" s="52"/>
      <c r="D137" s="53"/>
      <c r="E137" s="24" t="s">
        <v>162</v>
      </c>
      <c r="F137" s="2"/>
      <c r="G137" s="71"/>
      <c r="H137" s="7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2"/>
      <c r="B138" s="2"/>
      <c r="C138" s="2"/>
      <c r="D138" s="2"/>
      <c r="E138" s="2"/>
      <c r="F138" s="2"/>
      <c r="G138" s="71"/>
      <c r="H138" s="7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2"/>
      <c r="B139" s="2"/>
      <c r="C139" s="2"/>
      <c r="D139" s="2"/>
      <c r="E139" s="2"/>
      <c r="F139" s="2"/>
      <c r="G139" s="73"/>
      <c r="H139" s="7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38"/>
      <c r="C140" s="38"/>
      <c r="D140" s="38"/>
      <c r="E140" s="2"/>
      <c r="F140" s="2"/>
      <c r="G140" s="73"/>
      <c r="H140" s="7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47" t="s">
        <v>163</v>
      </c>
      <c r="B141" s="2"/>
      <c r="C141" s="2"/>
      <c r="D141" s="2"/>
      <c r="E141" s="2"/>
      <c r="F141" s="2"/>
      <c r="G141" s="7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16" t="s">
        <v>164</v>
      </c>
      <c r="E142" s="2"/>
      <c r="F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5" t="s">
        <v>165</v>
      </c>
      <c r="B143" s="2"/>
      <c r="C143" s="2"/>
      <c r="D143" s="76" t="str">
        <f>IF(ISERROR(+IF('Plan financier SUCCESS'!BA20&gt;0,"Rentable","Non rentable")),"",+IF('Plan financier SUCCESS'!BA20&gt;0,"Rentable","Non rentable"))</f>
        <v>Rentable</v>
      </c>
      <c r="E143" s="77" t="str">
        <f>IF(D143="Non rentable","  Veuillez améliorer vos chiffres !","")</f>
        <v/>
      </c>
      <c r="F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2"/>
      <c r="B144" s="2"/>
      <c r="C144" s="2"/>
      <c r="D144" s="2"/>
      <c r="E144" s="78"/>
      <c r="F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47" t="s">
        <v>166</v>
      </c>
      <c r="B145" s="2"/>
      <c r="C145" s="2"/>
      <c r="D145" s="2"/>
      <c r="E145" s="78"/>
      <c r="F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16" t="s">
        <v>164</v>
      </c>
      <c r="E146" s="78"/>
      <c r="F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5" t="s">
        <v>167</v>
      </c>
      <c r="B147" s="2"/>
      <c r="C147" s="2"/>
      <c r="D147" s="76" t="str">
        <f>IF(ISERROR(IF('Plan financier SUCCESS'!CF41&lt;0,"Trop faible","Adéquate")),"",+IF('Plan financier SUCCESS'!CF41&lt;0,"Trop faible","Adéquate"))</f>
        <v>Adéquate</v>
      </c>
      <c r="E147" s="77" t="str">
        <f>IF(D147="Trop faible","  Prévoyez plus de trésorerie de départ !","")</f>
        <v/>
      </c>
      <c r="F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2"/>
      <c r="B148" s="2"/>
      <c r="C148" s="2"/>
      <c r="D148" s="2"/>
      <c r="E148" s="78"/>
      <c r="F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7"/>
      <c r="B149" s="2"/>
      <c r="C149" s="2"/>
      <c r="D149" s="2"/>
      <c r="E149" s="2"/>
      <c r="F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121:D121"/>
    <mergeCell ref="G141:H150"/>
    <mergeCell ref="B6:C6"/>
    <mergeCell ref="B7:C7"/>
    <mergeCell ref="B8:C8"/>
    <mergeCell ref="B9:C9"/>
    <mergeCell ref="B10:C10"/>
    <mergeCell ref="B11:C11"/>
    <mergeCell ref="B12:C12"/>
  </mergeCells>
  <conditionalFormatting sqref="D143">
    <cfRule type="cellIs" dxfId="0" priority="1" operator="equal">
      <formula>"Non rentable"</formula>
    </cfRule>
  </conditionalFormatting>
  <conditionalFormatting sqref="D143">
    <cfRule type="containsText" dxfId="1" priority="2" operator="containsText" text="Rentable">
      <formula>NOT(ISERROR(SEARCH(("Rentable"),(D143))))</formula>
    </cfRule>
  </conditionalFormatting>
  <conditionalFormatting sqref="D147">
    <cfRule type="cellIs" dxfId="0" priority="3" operator="equal">
      <formula>"Trop faible"</formula>
    </cfRule>
  </conditionalFormatting>
  <conditionalFormatting sqref="D147">
    <cfRule type="cellIs" dxfId="1" priority="4" operator="equal">
      <formula>"Adéquate"</formula>
    </cfRule>
  </conditionalFormatting>
  <dataValidations>
    <dataValidation type="decimal" allowBlank="1" showErrorMessage="1" sqref="C61:C63">
      <formula1>0.0</formula1>
      <formula2>50.0</formula2>
    </dataValidation>
  </dataValidation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8" width="10.71"/>
    <col customWidth="1" min="9" max="10" width="3.57"/>
    <col customWidth="1" min="11" max="15" width="11.43"/>
    <col customWidth="1" min="16" max="16" width="10.71"/>
    <col customWidth="1" min="17" max="17" width="12.57"/>
    <col customWidth="1" min="18" max="18" width="3.0"/>
    <col customWidth="1" min="19" max="19" width="3.57"/>
    <col customWidth="1" min="20" max="23" width="11.43"/>
    <col customWidth="1" min="24" max="26" width="12.86"/>
    <col customWidth="1" min="27" max="27" width="3.0"/>
    <col customWidth="1" min="28" max="28" width="3.57"/>
    <col customWidth="1" min="29" max="32" width="11.43"/>
    <col customWidth="1" min="33" max="35" width="13.57"/>
    <col customWidth="1" min="36" max="36" width="3.0"/>
    <col customWidth="1" min="37" max="37" width="3.57"/>
    <col customWidth="1" min="38" max="40" width="11.43"/>
    <col customWidth="1" min="41" max="41" width="13.29"/>
    <col customWidth="1" min="42" max="42" width="7.0"/>
    <col customWidth="1" min="43" max="43" width="13.29"/>
    <col customWidth="1" min="44" max="44" width="7.0"/>
    <col customWidth="1" min="45" max="45" width="13.29"/>
    <col customWidth="1" min="46" max="46" width="7.0"/>
    <col customWidth="1" min="47" max="47" width="2.86"/>
    <col customWidth="1" min="48" max="48" width="3.57"/>
    <col customWidth="1" min="49" max="52" width="11.43"/>
    <col customWidth="1" min="53" max="55" width="13.57"/>
    <col customWidth="1" min="56" max="56" width="3.0"/>
    <col customWidth="1" min="57" max="57" width="3.57"/>
    <col customWidth="1" min="58" max="61" width="11.43"/>
    <col customWidth="1" min="62" max="64" width="13.29"/>
    <col customWidth="1" min="65" max="65" width="3.0"/>
    <col customWidth="1" min="66" max="66" width="3.57"/>
    <col customWidth="1" min="67" max="69" width="11.43"/>
    <col customWidth="1" min="70" max="74" width="13.14"/>
    <col customWidth="1" min="75" max="75" width="3.0"/>
    <col customWidth="1" min="76" max="76" width="3.86"/>
    <col customWidth="1" min="77" max="83" width="13.0"/>
    <col customWidth="1" min="84" max="84" width="13.14"/>
  </cols>
  <sheetData>
    <row r="1" ht="27.75" customHeight="1">
      <c r="A1" s="80" t="s">
        <v>168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81"/>
      <c r="BS1" s="81"/>
      <c r="BT1" s="81"/>
      <c r="BU1" s="81"/>
      <c r="BV1" s="81"/>
      <c r="BW1" s="54"/>
      <c r="BX1" s="54"/>
      <c r="BY1" s="54"/>
      <c r="BZ1" s="54"/>
      <c r="CA1" s="54"/>
      <c r="CB1" s="54"/>
      <c r="CC1" s="54"/>
      <c r="CD1" s="54"/>
      <c r="CE1" s="54"/>
      <c r="CF1" s="54"/>
    </row>
    <row r="2" ht="15.0" customHeight="1">
      <c r="A2" s="54"/>
      <c r="B2" s="82"/>
      <c r="C2" s="83"/>
      <c r="D2" s="83"/>
      <c r="E2" s="83"/>
      <c r="F2" s="83"/>
      <c r="G2" s="83"/>
      <c r="H2" s="84"/>
      <c r="I2" s="54"/>
      <c r="J2" s="54"/>
      <c r="K2" s="85" t="s">
        <v>169</v>
      </c>
      <c r="L2" s="86"/>
      <c r="M2" s="86"/>
      <c r="N2" s="86"/>
      <c r="O2" s="86"/>
      <c r="P2" s="86"/>
      <c r="Q2" s="87"/>
      <c r="R2" s="54"/>
      <c r="S2" s="54"/>
      <c r="T2" s="85" t="s">
        <v>170</v>
      </c>
      <c r="U2" s="86"/>
      <c r="V2" s="86"/>
      <c r="W2" s="86"/>
      <c r="X2" s="86"/>
      <c r="Y2" s="86"/>
      <c r="Z2" s="87"/>
      <c r="AA2" s="54"/>
      <c r="AB2" s="54"/>
      <c r="AC2" s="85" t="s">
        <v>171</v>
      </c>
      <c r="AD2" s="86"/>
      <c r="AE2" s="86"/>
      <c r="AF2" s="86"/>
      <c r="AG2" s="86"/>
      <c r="AH2" s="86"/>
      <c r="AI2" s="87"/>
      <c r="AJ2" s="54"/>
      <c r="AK2" s="54"/>
      <c r="AL2" s="85" t="s">
        <v>172</v>
      </c>
      <c r="AM2" s="86"/>
      <c r="AN2" s="86"/>
      <c r="AO2" s="86"/>
      <c r="AP2" s="86"/>
      <c r="AQ2" s="86"/>
      <c r="AR2" s="86"/>
      <c r="AS2" s="86"/>
      <c r="AT2" s="87"/>
      <c r="AU2" s="54"/>
      <c r="AV2" s="54"/>
      <c r="AW2" s="85" t="s">
        <v>173</v>
      </c>
      <c r="AX2" s="86"/>
      <c r="AY2" s="86"/>
      <c r="AZ2" s="86"/>
      <c r="BA2" s="86"/>
      <c r="BB2" s="86"/>
      <c r="BC2" s="87"/>
      <c r="BD2" s="54"/>
      <c r="BE2" s="54"/>
      <c r="BF2" s="85" t="s">
        <v>174</v>
      </c>
      <c r="BG2" s="86"/>
      <c r="BH2" s="86"/>
      <c r="BI2" s="86"/>
      <c r="BJ2" s="86"/>
      <c r="BK2" s="86"/>
      <c r="BL2" s="87"/>
      <c r="BM2" s="54"/>
      <c r="BN2" s="54"/>
      <c r="BO2" s="85" t="s">
        <v>175</v>
      </c>
      <c r="BP2" s="86"/>
      <c r="BQ2" s="86"/>
      <c r="BR2" s="86"/>
      <c r="BS2" s="86"/>
      <c r="BT2" s="86"/>
      <c r="BU2" s="86"/>
      <c r="BV2" s="87"/>
      <c r="BW2" s="54"/>
      <c r="BX2" s="54"/>
      <c r="BY2" s="85" t="s">
        <v>176</v>
      </c>
      <c r="BZ2" s="86"/>
      <c r="CA2" s="86"/>
      <c r="CB2" s="86"/>
      <c r="CC2" s="86"/>
      <c r="CD2" s="86"/>
      <c r="CE2" s="86"/>
      <c r="CF2" s="87"/>
    </row>
    <row r="3" ht="15.0" customHeight="1">
      <c r="A3" s="54"/>
      <c r="B3" s="88"/>
      <c r="C3" s="81"/>
      <c r="D3" s="81"/>
      <c r="E3" s="89"/>
      <c r="F3" s="90"/>
      <c r="G3" s="90"/>
      <c r="H3" s="91"/>
      <c r="I3" s="54"/>
      <c r="J3" s="54"/>
      <c r="K3" s="92"/>
      <c r="Q3" s="93"/>
      <c r="R3" s="54"/>
      <c r="S3" s="54"/>
      <c r="T3" s="92"/>
      <c r="Z3" s="93"/>
      <c r="AA3" s="54"/>
      <c r="AB3" s="54"/>
      <c r="AC3" s="92"/>
      <c r="AI3" s="93"/>
      <c r="AJ3" s="54"/>
      <c r="AK3" s="54"/>
      <c r="AL3" s="92"/>
      <c r="AT3" s="93"/>
      <c r="AU3" s="54"/>
      <c r="AV3" s="54"/>
      <c r="AW3" s="92"/>
      <c r="BC3" s="93"/>
      <c r="BD3" s="54"/>
      <c r="BE3" s="54"/>
      <c r="BF3" s="92"/>
      <c r="BL3" s="93"/>
      <c r="BM3" s="54"/>
      <c r="BN3" s="54"/>
      <c r="BO3" s="92"/>
      <c r="BV3" s="93"/>
      <c r="BW3" s="54"/>
      <c r="BX3" s="54"/>
      <c r="BY3" s="92"/>
      <c r="CF3" s="93"/>
    </row>
    <row r="4" ht="15.0" customHeight="1">
      <c r="A4" s="54"/>
      <c r="B4" s="88"/>
      <c r="C4" s="81"/>
      <c r="D4" s="94" t="str">
        <f>'Données à saisir'!B6</f>
        <v>Gracy Omokoso</v>
      </c>
      <c r="H4" s="95"/>
      <c r="I4" s="54"/>
      <c r="J4" s="54"/>
      <c r="K4" s="96"/>
      <c r="L4" s="97"/>
      <c r="M4" s="97"/>
      <c r="N4" s="97"/>
      <c r="O4" s="97"/>
      <c r="P4" s="97"/>
      <c r="Q4" s="98"/>
      <c r="R4" s="54"/>
      <c r="S4" s="54"/>
      <c r="T4" s="96"/>
      <c r="U4" s="97"/>
      <c r="V4" s="97"/>
      <c r="W4" s="97"/>
      <c r="X4" s="97"/>
      <c r="Y4" s="97"/>
      <c r="Z4" s="98"/>
      <c r="AA4" s="54"/>
      <c r="AB4" s="54"/>
      <c r="AC4" s="96"/>
      <c r="AD4" s="97"/>
      <c r="AE4" s="97"/>
      <c r="AF4" s="97"/>
      <c r="AG4" s="97"/>
      <c r="AH4" s="97"/>
      <c r="AI4" s="98"/>
      <c r="AJ4" s="54"/>
      <c r="AK4" s="54"/>
      <c r="AL4" s="96"/>
      <c r="AM4" s="97"/>
      <c r="AN4" s="97"/>
      <c r="AO4" s="97"/>
      <c r="AP4" s="97"/>
      <c r="AQ4" s="97"/>
      <c r="AR4" s="97"/>
      <c r="AS4" s="97"/>
      <c r="AT4" s="98"/>
      <c r="AU4" s="54"/>
      <c r="AV4" s="54"/>
      <c r="AW4" s="96"/>
      <c r="AX4" s="97"/>
      <c r="AY4" s="97"/>
      <c r="AZ4" s="97"/>
      <c r="BA4" s="97"/>
      <c r="BB4" s="97"/>
      <c r="BC4" s="98"/>
      <c r="BD4" s="54"/>
      <c r="BE4" s="54"/>
      <c r="BF4" s="96"/>
      <c r="BG4" s="97"/>
      <c r="BH4" s="97"/>
      <c r="BI4" s="97"/>
      <c r="BJ4" s="97"/>
      <c r="BK4" s="97"/>
      <c r="BL4" s="98"/>
      <c r="BM4" s="54"/>
      <c r="BN4" s="54"/>
      <c r="BO4" s="96"/>
      <c r="BP4" s="97"/>
      <c r="BQ4" s="97"/>
      <c r="BR4" s="97"/>
      <c r="BS4" s="97"/>
      <c r="BT4" s="97"/>
      <c r="BU4" s="97"/>
      <c r="BV4" s="98"/>
      <c r="BW4" s="54"/>
      <c r="BX4" s="54"/>
      <c r="BY4" s="96"/>
      <c r="BZ4" s="97"/>
      <c r="CA4" s="97"/>
      <c r="CB4" s="97"/>
      <c r="CC4" s="97"/>
      <c r="CD4" s="97"/>
      <c r="CE4" s="97"/>
      <c r="CF4" s="98"/>
    </row>
    <row r="5" ht="15.0" customHeight="1">
      <c r="A5" s="54"/>
      <c r="B5" s="88"/>
      <c r="C5" s="81"/>
      <c r="H5" s="95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81"/>
      <c r="BS5" s="81"/>
      <c r="BT5" s="81"/>
      <c r="BU5" s="81"/>
      <c r="BV5" s="81"/>
      <c r="BW5" s="54"/>
      <c r="BX5" s="54"/>
      <c r="BY5" s="54"/>
      <c r="BZ5" s="54"/>
      <c r="CA5" s="54"/>
      <c r="CB5" s="54"/>
      <c r="CC5" s="54"/>
      <c r="CD5" s="54"/>
      <c r="CE5" s="54"/>
      <c r="CF5" s="54"/>
    </row>
    <row r="6" ht="15.0" customHeight="1">
      <c r="A6" s="54"/>
      <c r="B6" s="88"/>
      <c r="C6" s="81"/>
      <c r="D6" s="81"/>
      <c r="E6" s="54"/>
      <c r="F6" s="54"/>
      <c r="G6" s="54"/>
      <c r="H6" s="91"/>
      <c r="I6" s="54"/>
      <c r="J6" s="54"/>
      <c r="K6" s="99" t="s">
        <v>177</v>
      </c>
      <c r="L6" s="54"/>
      <c r="M6" s="100" t="str">
        <f>IF(ISBLANK('Données à saisir'!$B7),"",('Données à saisir'!$B7))</f>
        <v>Televerx</v>
      </c>
      <c r="N6" s="54"/>
      <c r="O6" s="54"/>
      <c r="P6" s="54"/>
      <c r="Q6" s="54"/>
      <c r="R6" s="54"/>
      <c r="S6" s="54"/>
      <c r="T6" s="99" t="s">
        <v>177</v>
      </c>
      <c r="U6" s="54"/>
      <c r="V6" s="100" t="str">
        <f>IF(ISBLANK('Données à saisir'!$B7),"",('Données à saisir'!$B7))</f>
        <v>Televerx</v>
      </c>
      <c r="W6" s="54"/>
      <c r="X6" s="54"/>
      <c r="Y6" s="54"/>
      <c r="Z6" s="54"/>
      <c r="AA6" s="54"/>
      <c r="AB6" s="54"/>
      <c r="AC6" s="99" t="s">
        <v>177</v>
      </c>
      <c r="AD6" s="54"/>
      <c r="AE6" s="100" t="str">
        <f>IF(ISBLANK('Données à saisir'!$B7),"",('Données à saisir'!$B7))</f>
        <v>Televerx</v>
      </c>
      <c r="AF6" s="54"/>
      <c r="AG6" s="54"/>
      <c r="AH6" s="54"/>
      <c r="AI6" s="54"/>
      <c r="AJ6" s="54"/>
      <c r="AK6" s="54"/>
      <c r="AL6" s="99" t="s">
        <v>177</v>
      </c>
      <c r="AM6" s="54"/>
      <c r="AN6" s="100" t="str">
        <f>IF(ISBLANK('Données à saisir'!$B7),"",('Données à saisir'!$B7))</f>
        <v>Televerx</v>
      </c>
      <c r="AO6" s="54"/>
      <c r="AP6" s="54"/>
      <c r="AQ6" s="54"/>
      <c r="AR6" s="54"/>
      <c r="AS6" s="54"/>
      <c r="AT6" s="54"/>
      <c r="AU6" s="54"/>
      <c r="AV6" s="54"/>
      <c r="AW6" s="99" t="s">
        <v>177</v>
      </c>
      <c r="AX6" s="54"/>
      <c r="AY6" s="100" t="str">
        <f>IF(ISBLANK('Données à saisir'!$B7),"",('Données à saisir'!$B7))</f>
        <v>Televerx</v>
      </c>
      <c r="AZ6" s="54"/>
      <c r="BA6" s="54"/>
      <c r="BB6" s="54"/>
      <c r="BC6" s="54"/>
      <c r="BD6" s="54"/>
      <c r="BE6" s="54"/>
      <c r="BF6" s="99" t="s">
        <v>177</v>
      </c>
      <c r="BG6" s="54"/>
      <c r="BH6" s="100" t="str">
        <f>IF(ISBLANK('Données à saisir'!$B7),"",('Données à saisir'!$B7))</f>
        <v>Televerx</v>
      </c>
      <c r="BI6" s="54"/>
      <c r="BJ6" s="54"/>
      <c r="BK6" s="54"/>
      <c r="BL6" s="54"/>
      <c r="BM6" s="54"/>
      <c r="BN6" s="54"/>
      <c r="BO6" s="99" t="s">
        <v>177</v>
      </c>
      <c r="BP6" s="54"/>
      <c r="BQ6" s="100" t="str">
        <f>IF(ISBLANK('Données à saisir'!$B7),"",('Données à saisir'!$B7))</f>
        <v>Televerx</v>
      </c>
      <c r="BR6" s="81"/>
      <c r="BS6" s="81"/>
      <c r="BT6" s="81"/>
      <c r="BU6" s="81"/>
      <c r="BV6" s="101" t="s">
        <v>178</v>
      </c>
      <c r="BW6" s="54"/>
      <c r="BX6" s="54"/>
      <c r="BY6" s="99" t="s">
        <v>177</v>
      </c>
      <c r="BZ6" s="54"/>
      <c r="CA6" s="100" t="str">
        <f>IF(ISBLANK('Données à saisir'!$B7),"",('Données à saisir'!$B7))</f>
        <v>Televerx</v>
      </c>
      <c r="CB6" s="54"/>
      <c r="CC6" s="54"/>
      <c r="CD6" s="54"/>
      <c r="CE6" s="54"/>
      <c r="CF6" s="101" t="s">
        <v>178</v>
      </c>
    </row>
    <row r="7" ht="15.0" customHeight="1">
      <c r="A7" s="54"/>
      <c r="B7" s="88"/>
      <c r="C7" s="81"/>
      <c r="D7" s="81"/>
      <c r="E7" s="54"/>
      <c r="F7" s="54"/>
      <c r="G7" s="54"/>
      <c r="H7" s="91"/>
      <c r="I7" s="54"/>
      <c r="J7" s="54"/>
      <c r="K7" s="99" t="s">
        <v>179</v>
      </c>
      <c r="L7" s="54"/>
      <c r="M7" s="100" t="str">
        <f>IF(ISBLANK('Données à saisir'!$B6),"",('Données à saisir'!$B6))</f>
        <v>Gracy Omokoso</v>
      </c>
      <c r="N7" s="54"/>
      <c r="O7" s="54"/>
      <c r="P7" s="54"/>
      <c r="Q7" s="54"/>
      <c r="R7" s="54"/>
      <c r="S7" s="54"/>
      <c r="T7" s="99" t="s">
        <v>179</v>
      </c>
      <c r="U7" s="54"/>
      <c r="V7" s="100" t="str">
        <f>IF(ISBLANK('Données à saisir'!$B6),"",('Données à saisir'!$B6))</f>
        <v>Gracy Omokoso</v>
      </c>
      <c r="W7" s="54"/>
      <c r="X7" s="54"/>
      <c r="Y7" s="54"/>
      <c r="Z7" s="54"/>
      <c r="AA7" s="54"/>
      <c r="AB7" s="54"/>
      <c r="AC7" s="99" t="s">
        <v>179</v>
      </c>
      <c r="AD7" s="54"/>
      <c r="AE7" s="100" t="str">
        <f>IF(ISBLANK('Données à saisir'!$B6),"",('Données à saisir'!$B6))</f>
        <v>Gracy Omokoso</v>
      </c>
      <c r="AF7" s="54"/>
      <c r="AG7" s="54"/>
      <c r="AH7" s="54"/>
      <c r="AI7" s="54"/>
      <c r="AJ7" s="54"/>
      <c r="AK7" s="54"/>
      <c r="AL7" s="99" t="s">
        <v>179</v>
      </c>
      <c r="AM7" s="54"/>
      <c r="AN7" s="100" t="str">
        <f>IF(ISBLANK('Données à saisir'!$B6),"",('Données à saisir'!$B6))</f>
        <v>Gracy Omokoso</v>
      </c>
      <c r="AO7" s="54"/>
      <c r="AP7" s="54"/>
      <c r="AQ7" s="54"/>
      <c r="AR7" s="54"/>
      <c r="AS7" s="54"/>
      <c r="AT7" s="54"/>
      <c r="AU7" s="54"/>
      <c r="AV7" s="54"/>
      <c r="AW7" s="99" t="s">
        <v>179</v>
      </c>
      <c r="AX7" s="54"/>
      <c r="AY7" s="100" t="str">
        <f>IF(ISBLANK('Données à saisir'!$B6),"",('Données à saisir'!$B6))</f>
        <v>Gracy Omokoso</v>
      </c>
      <c r="AZ7" s="54"/>
      <c r="BA7" s="54"/>
      <c r="BB7" s="54"/>
      <c r="BC7" s="54"/>
      <c r="BD7" s="54"/>
      <c r="BE7" s="54"/>
      <c r="BF7" s="99" t="s">
        <v>179</v>
      </c>
      <c r="BG7" s="54"/>
      <c r="BH7" s="100" t="str">
        <f>IF(ISBLANK('Données à saisir'!$B6),"",('Données à saisir'!$B6))</f>
        <v>Gracy Omokoso</v>
      </c>
      <c r="BI7" s="54"/>
      <c r="BJ7" s="54"/>
      <c r="BK7" s="54"/>
      <c r="BL7" s="54"/>
      <c r="BM7" s="54"/>
      <c r="BN7" s="54"/>
      <c r="BO7" s="99" t="s">
        <v>179</v>
      </c>
      <c r="BP7" s="54"/>
      <c r="BQ7" s="100" t="str">
        <f>IF(ISBLANK('Données à saisir'!$B6),"",('Données à saisir'!$B6))</f>
        <v>Gracy Omokoso</v>
      </c>
      <c r="BR7" s="54"/>
      <c r="BS7" s="81"/>
      <c r="BT7" s="81"/>
      <c r="BU7" s="81"/>
      <c r="BV7" s="81"/>
      <c r="BW7" s="54"/>
      <c r="BX7" s="54"/>
      <c r="BY7" s="99" t="s">
        <v>179</v>
      </c>
      <c r="BZ7" s="54"/>
      <c r="CA7" s="100" t="str">
        <f>IF(ISBLANK('Données à saisir'!$B6),"",('Données à saisir'!$B6))</f>
        <v>Gracy Omokoso</v>
      </c>
      <c r="CB7" s="54"/>
      <c r="CC7" s="54"/>
      <c r="CD7" s="54"/>
      <c r="CE7" s="54"/>
      <c r="CF7" s="54"/>
    </row>
    <row r="8" ht="15.0" customHeight="1">
      <c r="A8" s="54"/>
      <c r="B8" s="102"/>
      <c r="C8" s="103"/>
      <c r="D8" s="103"/>
      <c r="E8" s="104"/>
      <c r="F8" s="103"/>
      <c r="G8" s="103"/>
      <c r="H8" s="105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99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106" t="s">
        <v>62</v>
      </c>
      <c r="AH8" s="107" t="s">
        <v>63</v>
      </c>
      <c r="AI8" s="108" t="s">
        <v>64</v>
      </c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81"/>
      <c r="BS8" s="81"/>
      <c r="BT8" s="81"/>
      <c r="BU8" s="81"/>
      <c r="BV8" s="81"/>
      <c r="BW8" s="54"/>
      <c r="BX8" s="54"/>
      <c r="BY8" s="54"/>
      <c r="BZ8" s="54"/>
      <c r="CA8" s="54"/>
      <c r="CB8" s="54"/>
      <c r="CC8" s="54"/>
      <c r="CD8" s="54"/>
      <c r="CE8" s="54"/>
      <c r="CF8" s="54"/>
    </row>
    <row r="9" ht="15.0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109" t="s">
        <v>180</v>
      </c>
      <c r="L9" s="110"/>
      <c r="M9" s="110"/>
      <c r="N9" s="110"/>
      <c r="O9" s="110"/>
      <c r="P9" s="110"/>
      <c r="Q9" s="111" t="s">
        <v>181</v>
      </c>
      <c r="R9" s="54"/>
      <c r="S9" s="54"/>
      <c r="T9" s="54"/>
      <c r="U9" s="99" t="s">
        <v>182</v>
      </c>
      <c r="V9" s="54"/>
      <c r="W9" s="54"/>
      <c r="X9" s="54" t="str">
        <f>C33</f>
        <v/>
      </c>
      <c r="Y9" s="54"/>
      <c r="Z9" s="54"/>
      <c r="AA9" s="54"/>
      <c r="AB9" s="54"/>
      <c r="AC9" s="112"/>
      <c r="AD9" s="54"/>
      <c r="AE9" s="54"/>
      <c r="AF9" s="54"/>
      <c r="AG9" s="113"/>
      <c r="AH9" s="114"/>
      <c r="AI9" s="115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116" t="s">
        <v>62</v>
      </c>
      <c r="BB9" s="107" t="s">
        <v>63</v>
      </c>
      <c r="BC9" s="117" t="s">
        <v>64</v>
      </c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81"/>
      <c r="BS9" s="81"/>
      <c r="BT9" s="81"/>
      <c r="BU9" s="81"/>
      <c r="BV9" s="81"/>
      <c r="BW9" s="54"/>
      <c r="BX9" s="54"/>
      <c r="BY9" s="54"/>
      <c r="BZ9" s="54"/>
      <c r="CA9" s="54"/>
      <c r="CB9" s="54"/>
      <c r="CC9" s="54"/>
      <c r="CD9" s="54"/>
      <c r="CE9" s="54"/>
      <c r="CF9" s="54"/>
    </row>
    <row r="10" ht="15.0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118"/>
      <c r="L10" s="119"/>
      <c r="M10" s="119"/>
      <c r="N10" s="119"/>
      <c r="O10" s="119"/>
      <c r="P10" s="119"/>
      <c r="Q10" s="120"/>
      <c r="R10" s="54"/>
      <c r="S10" s="54"/>
      <c r="T10" s="54"/>
      <c r="U10" s="99"/>
      <c r="V10" s="54"/>
      <c r="W10" s="54"/>
      <c r="X10" s="54"/>
      <c r="Y10" s="54"/>
      <c r="Z10" s="54"/>
      <c r="AA10" s="54"/>
      <c r="AB10" s="54"/>
      <c r="AC10" s="121" t="s">
        <v>183</v>
      </c>
      <c r="AD10" s="122"/>
      <c r="AE10" s="122"/>
      <c r="AF10" s="122"/>
      <c r="AG10" s="123">
        <f t="shared" ref="AG10:AI10" si="1">SUM(AG11:AG12)</f>
        <v>87120</v>
      </c>
      <c r="AH10" s="123">
        <f t="shared" si="1"/>
        <v>113256</v>
      </c>
      <c r="AI10" s="124">
        <f t="shared" si="1"/>
        <v>169884</v>
      </c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112"/>
      <c r="AX10" s="54"/>
      <c r="AY10" s="54"/>
      <c r="AZ10" s="54"/>
      <c r="BA10" s="125"/>
      <c r="BB10" s="114"/>
      <c r="BC10" s="126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81"/>
      <c r="BS10" s="81"/>
      <c r="BT10" s="81"/>
      <c r="BU10" s="81"/>
      <c r="BV10" s="81"/>
      <c r="BW10" s="54"/>
      <c r="BX10" s="54"/>
      <c r="BY10" s="54"/>
      <c r="BZ10" s="54"/>
      <c r="CA10" s="54"/>
      <c r="CB10" s="54"/>
      <c r="CC10" s="54"/>
      <c r="CD10" s="54"/>
      <c r="CE10" s="54"/>
      <c r="CF10" s="54"/>
    </row>
    <row r="11" ht="15.0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127"/>
      <c r="L11" s="128"/>
      <c r="M11" s="128"/>
      <c r="N11" s="128"/>
      <c r="O11" s="128"/>
      <c r="P11" s="128"/>
      <c r="Q11" s="129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130" t="s">
        <v>184</v>
      </c>
      <c r="AD11" s="2"/>
      <c r="AE11" s="2"/>
      <c r="AF11" s="2"/>
      <c r="AG11" s="131">
        <f>'Données à saisir'!D115</f>
        <v>87120</v>
      </c>
      <c r="AH11" s="131">
        <f>AG11+AG11*'Données à saisir'!D117</f>
        <v>113256</v>
      </c>
      <c r="AI11" s="132">
        <f>AH11+AH11*'Données à saisir'!D118</f>
        <v>169884</v>
      </c>
      <c r="AJ11" s="54"/>
      <c r="AK11" s="54"/>
      <c r="AL11" s="54"/>
      <c r="AM11" s="54"/>
      <c r="AN11" s="54"/>
      <c r="AO11" s="106" t="s">
        <v>62</v>
      </c>
      <c r="AP11" s="107" t="s">
        <v>185</v>
      </c>
      <c r="AQ11" s="107" t="s">
        <v>63</v>
      </c>
      <c r="AR11" s="107" t="s">
        <v>185</v>
      </c>
      <c r="AS11" s="107" t="s">
        <v>64</v>
      </c>
      <c r="AT11" s="108" t="s">
        <v>185</v>
      </c>
      <c r="AU11" s="54"/>
      <c r="AV11" s="54"/>
      <c r="AW11" s="121" t="s">
        <v>186</v>
      </c>
      <c r="AX11" s="122"/>
      <c r="AY11" s="122"/>
      <c r="AZ11" s="122"/>
      <c r="BA11" s="123">
        <f t="shared" ref="BA11:BC11" si="2">AG10</f>
        <v>87120</v>
      </c>
      <c r="BB11" s="123">
        <f t="shared" si="2"/>
        <v>113256</v>
      </c>
      <c r="BC11" s="124">
        <f t="shared" si="2"/>
        <v>169884</v>
      </c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133" t="s">
        <v>187</v>
      </c>
      <c r="BP11" s="54"/>
      <c r="BQ11" s="54"/>
      <c r="BR11" s="81"/>
      <c r="BS11" s="81"/>
      <c r="BT11" s="81"/>
      <c r="BU11" s="81"/>
      <c r="BV11" s="81"/>
      <c r="BW11" s="54"/>
      <c r="BX11" s="54"/>
      <c r="BY11" s="54"/>
      <c r="BZ11" s="54"/>
      <c r="CA11" s="54"/>
      <c r="CB11" s="54"/>
      <c r="CC11" s="54"/>
      <c r="CD11" s="54"/>
      <c r="CE11" s="54"/>
      <c r="CF11" s="54"/>
    </row>
    <row r="12" ht="15.0" customHeight="1">
      <c r="A12" s="54"/>
      <c r="B12" s="82"/>
      <c r="C12" s="83"/>
      <c r="D12" s="83"/>
      <c r="E12" s="83"/>
      <c r="F12" s="83"/>
      <c r="G12" s="83"/>
      <c r="H12" s="84"/>
      <c r="I12" s="54"/>
      <c r="J12" s="54"/>
      <c r="K12" s="134" t="s">
        <v>188</v>
      </c>
      <c r="L12" s="2"/>
      <c r="M12" s="2"/>
      <c r="N12" s="2"/>
      <c r="O12" s="2"/>
      <c r="P12" s="2"/>
      <c r="Q12" s="135">
        <f>SUM(Q13:Q22)</f>
        <v>1250</v>
      </c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130" t="s">
        <v>189</v>
      </c>
      <c r="AD12" s="2"/>
      <c r="AE12" s="2"/>
      <c r="AF12" s="2"/>
      <c r="AG12" s="131">
        <f>'Données à saisir'!I115</f>
        <v>0</v>
      </c>
      <c r="AH12" s="131">
        <f>AG12+AG12*'Données à saisir'!I117</f>
        <v>0</v>
      </c>
      <c r="AI12" s="132">
        <f>AH12+AH12*'Données à saisir'!I118</f>
        <v>0</v>
      </c>
      <c r="AJ12" s="54"/>
      <c r="AK12" s="54"/>
      <c r="AL12" s="112"/>
      <c r="AM12" s="54"/>
      <c r="AN12" s="54"/>
      <c r="AO12" s="136"/>
      <c r="AP12" s="114"/>
      <c r="AQ12" s="137"/>
      <c r="AR12" s="114"/>
      <c r="AS12" s="137"/>
      <c r="AT12" s="138"/>
      <c r="AU12" s="54"/>
      <c r="AV12" s="54"/>
      <c r="AW12" s="139" t="s">
        <v>190</v>
      </c>
      <c r="AX12" s="2"/>
      <c r="AY12" s="2"/>
      <c r="AZ12" s="2"/>
      <c r="BA12" s="140">
        <f>AO15</f>
        <v>26136</v>
      </c>
      <c r="BB12" s="140">
        <f>AQ15</f>
        <v>33976.8</v>
      </c>
      <c r="BC12" s="141">
        <f>AS15</f>
        <v>50965.2</v>
      </c>
      <c r="BD12" s="54"/>
      <c r="BE12" s="54"/>
      <c r="BF12" s="54"/>
      <c r="BG12" s="54"/>
      <c r="BH12" s="54"/>
      <c r="BI12" s="54"/>
      <c r="BJ12" s="116" t="s">
        <v>62</v>
      </c>
      <c r="BK12" s="107" t="s">
        <v>63</v>
      </c>
      <c r="BL12" s="117" t="s">
        <v>64</v>
      </c>
      <c r="BM12" s="54"/>
      <c r="BN12" s="54"/>
      <c r="BO12" s="54"/>
      <c r="BP12" s="54"/>
      <c r="BQ12" s="54"/>
      <c r="BR12" s="81"/>
      <c r="BS12" s="81"/>
      <c r="BT12" s="81"/>
      <c r="BU12" s="81"/>
      <c r="BV12" s="81"/>
      <c r="BW12" s="54"/>
      <c r="BX12" s="54"/>
      <c r="BY12" s="54"/>
      <c r="BZ12" s="54"/>
      <c r="CA12" s="54"/>
      <c r="CB12" s="54"/>
      <c r="CC12" s="54"/>
      <c r="CD12" s="54"/>
      <c r="CE12" s="54"/>
      <c r="CF12" s="54"/>
    </row>
    <row r="13" ht="15.0" customHeight="1">
      <c r="A13" s="54"/>
      <c r="B13" s="88"/>
      <c r="C13" s="81"/>
      <c r="D13" s="81"/>
      <c r="E13" s="81"/>
      <c r="F13" s="81"/>
      <c r="G13" s="81"/>
      <c r="H13" s="91"/>
      <c r="I13" s="54"/>
      <c r="J13" s="54"/>
      <c r="K13" s="130" t="str">
        <f>'Données à saisir'!A17</f>
        <v>Frais d’établissement </v>
      </c>
      <c r="L13" s="2"/>
      <c r="M13" s="2"/>
      <c r="N13" s="2"/>
      <c r="O13" s="2"/>
      <c r="P13" s="2"/>
      <c r="Q13" s="142" t="str">
        <f>IF(ISBLANK('Données à saisir'!B17),"",'Données à saisir'!B17)</f>
        <v/>
      </c>
      <c r="R13" s="54"/>
      <c r="S13" s="54"/>
      <c r="T13" s="54"/>
      <c r="U13" s="54"/>
      <c r="V13" s="54"/>
      <c r="W13" s="54"/>
      <c r="X13" s="143" t="s">
        <v>62</v>
      </c>
      <c r="Y13" s="144" t="s">
        <v>63</v>
      </c>
      <c r="Z13" s="145" t="s">
        <v>64</v>
      </c>
      <c r="AA13" s="54"/>
      <c r="AB13" s="54"/>
      <c r="AC13" s="146" t="s">
        <v>191</v>
      </c>
      <c r="AD13" s="2"/>
      <c r="AE13" s="2"/>
      <c r="AF13" s="2"/>
      <c r="AG13" s="147">
        <f t="shared" ref="AG13:AI13" si="3">AG14</f>
        <v>26136</v>
      </c>
      <c r="AH13" s="147">
        <f t="shared" si="3"/>
        <v>33976.8</v>
      </c>
      <c r="AI13" s="148">
        <f t="shared" si="3"/>
        <v>50965.2</v>
      </c>
      <c r="AJ13" s="54"/>
      <c r="AK13" s="54"/>
      <c r="AL13" s="149" t="s">
        <v>192</v>
      </c>
      <c r="AM13" s="150"/>
      <c r="AN13" s="150"/>
      <c r="AO13" s="151">
        <f>AG10</f>
        <v>87120</v>
      </c>
      <c r="AP13" s="152">
        <v>1.0</v>
      </c>
      <c r="AQ13" s="151">
        <f>AH10</f>
        <v>113256</v>
      </c>
      <c r="AR13" s="153">
        <v>1.0</v>
      </c>
      <c r="AS13" s="151">
        <f>AI10</f>
        <v>169884</v>
      </c>
      <c r="AT13" s="154">
        <v>1.0</v>
      </c>
      <c r="AU13" s="54"/>
      <c r="AV13" s="54"/>
      <c r="AW13" s="139" t="s">
        <v>193</v>
      </c>
      <c r="AX13" s="2"/>
      <c r="AY13" s="2"/>
      <c r="AZ13" s="2"/>
      <c r="BA13" s="140">
        <f t="shared" ref="BA13:BC13" si="4">BA12</f>
        <v>26136</v>
      </c>
      <c r="BB13" s="140">
        <f t="shared" si="4"/>
        <v>33976.8</v>
      </c>
      <c r="BC13" s="141">
        <f t="shared" si="4"/>
        <v>50965.2</v>
      </c>
      <c r="BD13" s="54"/>
      <c r="BE13" s="54"/>
      <c r="BF13" s="112"/>
      <c r="BG13" s="54"/>
      <c r="BH13" s="54"/>
      <c r="BI13" s="54"/>
      <c r="BJ13" s="125"/>
      <c r="BK13" s="114"/>
      <c r="BL13" s="126"/>
      <c r="BM13" s="54"/>
      <c r="BN13" s="54"/>
      <c r="BO13" s="54"/>
      <c r="BP13" s="54"/>
      <c r="BQ13" s="54"/>
      <c r="BR13" s="116" t="s">
        <v>129</v>
      </c>
      <c r="BS13" s="107" t="s">
        <v>130</v>
      </c>
      <c r="BT13" s="107" t="s">
        <v>131</v>
      </c>
      <c r="BU13" s="107" t="s">
        <v>132</v>
      </c>
      <c r="BV13" s="117" t="s">
        <v>133</v>
      </c>
      <c r="BW13" s="54"/>
      <c r="BX13" s="54"/>
      <c r="BY13" s="116" t="s">
        <v>134</v>
      </c>
      <c r="BZ13" s="107" t="s">
        <v>135</v>
      </c>
      <c r="CA13" s="107" t="s">
        <v>136</v>
      </c>
      <c r="CB13" s="107" t="s">
        <v>137</v>
      </c>
      <c r="CC13" s="107" t="s">
        <v>138</v>
      </c>
      <c r="CD13" s="107" t="s">
        <v>139</v>
      </c>
      <c r="CE13" s="155" t="s">
        <v>140</v>
      </c>
      <c r="CF13" s="156" t="s">
        <v>58</v>
      </c>
    </row>
    <row r="14" ht="15.0" customHeight="1">
      <c r="A14" s="54"/>
      <c r="B14" s="157" t="s">
        <v>194</v>
      </c>
      <c r="H14" s="95"/>
      <c r="I14" s="54"/>
      <c r="J14" s="54"/>
      <c r="K14" s="130" t="str">
        <f>'Données à saisir'!A18</f>
        <v>Frais d’ouverture de compteurs</v>
      </c>
      <c r="L14" s="2"/>
      <c r="M14" s="2"/>
      <c r="N14" s="2"/>
      <c r="O14" s="2"/>
      <c r="P14" s="2"/>
      <c r="Q14" s="142" t="str">
        <f>IF(ISBLANK('Données à saisir'!B18),"",'Données à saisir'!B18)</f>
        <v/>
      </c>
      <c r="R14" s="54"/>
      <c r="S14" s="54"/>
      <c r="T14" s="112"/>
      <c r="U14" s="54"/>
      <c r="V14" s="54"/>
      <c r="W14" s="54"/>
      <c r="X14" s="158"/>
      <c r="Y14" s="159"/>
      <c r="Z14" s="160"/>
      <c r="AA14" s="54"/>
      <c r="AB14" s="54"/>
      <c r="AC14" s="130" t="s">
        <v>190</v>
      </c>
      <c r="AD14" s="2"/>
      <c r="AE14" s="2"/>
      <c r="AF14" s="2"/>
      <c r="AG14" s="131">
        <f>'Données à saisir'!$D$123*'Plan financier SUCCESS'!AG11</f>
        <v>26136</v>
      </c>
      <c r="AH14" s="131">
        <f>'Données à saisir'!$D$123*'Plan financier SUCCESS'!AH11</f>
        <v>33976.8</v>
      </c>
      <c r="AI14" s="132">
        <f>'Données à saisir'!$D$123*'Plan financier SUCCESS'!AI11</f>
        <v>50965.2</v>
      </c>
      <c r="AJ14" s="54"/>
      <c r="AK14" s="54"/>
      <c r="AL14" s="134" t="s">
        <v>195</v>
      </c>
      <c r="AM14" s="2"/>
      <c r="AN14" s="2"/>
      <c r="AO14" s="140">
        <f>AG10</f>
        <v>87120</v>
      </c>
      <c r="AP14" s="161">
        <v>1.0</v>
      </c>
      <c r="AQ14" s="140">
        <f>AH10</f>
        <v>113256</v>
      </c>
      <c r="AR14" s="162">
        <v>1.0</v>
      </c>
      <c r="AS14" s="140">
        <f>AI10</f>
        <v>169884</v>
      </c>
      <c r="AT14" s="163">
        <v>1.0</v>
      </c>
      <c r="AU14" s="54"/>
      <c r="AV14" s="54"/>
      <c r="AW14" s="139" t="s">
        <v>196</v>
      </c>
      <c r="AX14" s="2"/>
      <c r="AY14" s="2"/>
      <c r="AZ14" s="2"/>
      <c r="BA14" s="147">
        <f t="shared" ref="BA14:BC14" si="5">BA11-BA13</f>
        <v>60984</v>
      </c>
      <c r="BB14" s="147">
        <f t="shared" si="5"/>
        <v>79279.2</v>
      </c>
      <c r="BC14" s="148">
        <f t="shared" si="5"/>
        <v>118918.8</v>
      </c>
      <c r="BD14" s="54"/>
      <c r="BE14" s="54"/>
      <c r="BF14" s="164" t="s">
        <v>197</v>
      </c>
      <c r="BG14" s="122"/>
      <c r="BH14" s="122"/>
      <c r="BI14" s="122"/>
      <c r="BJ14" s="165">
        <f>Q12+Q23</f>
        <v>12650</v>
      </c>
      <c r="BK14" s="123"/>
      <c r="BL14" s="166"/>
      <c r="BM14" s="54"/>
      <c r="BN14" s="54"/>
      <c r="BO14" s="112"/>
      <c r="BP14" s="54"/>
      <c r="BQ14" s="54"/>
      <c r="BR14" s="125"/>
      <c r="BS14" s="114"/>
      <c r="BT14" s="114"/>
      <c r="BU14" s="114"/>
      <c r="BV14" s="126"/>
      <c r="BW14" s="54"/>
      <c r="BX14" s="54"/>
      <c r="BY14" s="125"/>
      <c r="BZ14" s="114"/>
      <c r="CA14" s="114"/>
      <c r="CB14" s="114"/>
      <c r="CC14" s="114"/>
      <c r="CD14" s="114"/>
      <c r="CE14" s="167"/>
      <c r="CF14" s="168"/>
    </row>
    <row r="15" ht="15.0" customHeight="1">
      <c r="A15" s="54"/>
      <c r="B15" s="169"/>
      <c r="H15" s="95"/>
      <c r="I15" s="54"/>
      <c r="J15" s="54"/>
      <c r="K15" s="130" t="str">
        <f>'Données à saisir'!A19</f>
        <v>Logiciels, formations</v>
      </c>
      <c r="L15" s="2"/>
      <c r="M15" s="2"/>
      <c r="N15" s="2"/>
      <c r="O15" s="2"/>
      <c r="P15" s="2"/>
      <c r="Q15" s="142" t="str">
        <f>IF(ISBLANK('Données à saisir'!B19),"",'Données à saisir'!B19)</f>
        <v/>
      </c>
      <c r="R15" s="54"/>
      <c r="S15" s="54"/>
      <c r="T15" s="121" t="s">
        <v>198</v>
      </c>
      <c r="U15" s="122"/>
      <c r="V15" s="122"/>
      <c r="W15" s="122"/>
      <c r="X15" s="123" t="str">
        <f>'Données à saisir'!B136</f>
        <v/>
      </c>
      <c r="Y15" s="123" t="str">
        <f>'Données à saisir'!C136</f>
        <v/>
      </c>
      <c r="Z15" s="166" t="str">
        <f>'Données à saisir'!D136</f>
        <v/>
      </c>
      <c r="AA15" s="54"/>
      <c r="AB15" s="54"/>
      <c r="AC15" s="170"/>
      <c r="AD15" s="2"/>
      <c r="AE15" s="2"/>
      <c r="AF15" s="2"/>
      <c r="AG15" s="131"/>
      <c r="AH15" s="131"/>
      <c r="AI15" s="171"/>
      <c r="AJ15" s="54"/>
      <c r="AK15" s="54"/>
      <c r="AL15" s="172" t="s">
        <v>190</v>
      </c>
      <c r="AM15" s="2"/>
      <c r="AN15" s="2"/>
      <c r="AO15" s="140">
        <f>AG14</f>
        <v>26136</v>
      </c>
      <c r="AP15" s="161">
        <f t="shared" ref="AP15:AP28" si="9">AO15/$AO$14</f>
        <v>0.3</v>
      </c>
      <c r="AQ15" s="140">
        <f>AH14</f>
        <v>33976.8</v>
      </c>
      <c r="AR15" s="161">
        <f t="shared" ref="AR15:AR28" si="10">AQ15/$AQ$14</f>
        <v>0.3</v>
      </c>
      <c r="AS15" s="140">
        <f>AI14</f>
        <v>50965.2</v>
      </c>
      <c r="AT15" s="163">
        <f t="shared" ref="AT15:AT28" si="11">AS15/$AS$14</f>
        <v>0.3</v>
      </c>
      <c r="AU15" s="54"/>
      <c r="AV15" s="54"/>
      <c r="AW15" s="173" t="s">
        <v>199</v>
      </c>
      <c r="AX15" s="174"/>
      <c r="AY15" s="174"/>
      <c r="AZ15" s="174"/>
      <c r="BA15" s="175">
        <f t="shared" ref="BA15:BC15" si="6">IF(ISERROR(BA14/BA11),0,BA14/BA11)</f>
        <v>0.7</v>
      </c>
      <c r="BB15" s="175">
        <f t="shared" si="6"/>
        <v>0.7</v>
      </c>
      <c r="BC15" s="176">
        <f t="shared" si="6"/>
        <v>0.7</v>
      </c>
      <c r="BD15" s="54"/>
      <c r="BE15" s="54"/>
      <c r="BF15" s="139" t="s">
        <v>200</v>
      </c>
      <c r="BG15" s="2"/>
      <c r="BH15" s="2"/>
      <c r="BI15" s="2"/>
      <c r="BJ15" s="140" t="str">
        <f>BR25</f>
        <v/>
      </c>
      <c r="BK15" s="140"/>
      <c r="BL15" s="141"/>
      <c r="BM15" s="54"/>
      <c r="BN15" s="54"/>
      <c r="BO15" s="177" t="s">
        <v>201</v>
      </c>
      <c r="BP15" s="122"/>
      <c r="BQ15" s="122"/>
      <c r="BR15" s="165">
        <f t="shared" ref="BR15:BR18" si="12">BJ19</f>
        <v>20650</v>
      </c>
      <c r="BS15" s="165"/>
      <c r="BT15" s="165"/>
      <c r="BU15" s="165"/>
      <c r="BV15" s="178"/>
      <c r="BW15" s="54"/>
      <c r="BX15" s="54"/>
      <c r="BY15" s="179"/>
      <c r="BZ15" s="165"/>
      <c r="CA15" s="165"/>
      <c r="CB15" s="165"/>
      <c r="CC15" s="165"/>
      <c r="CD15" s="165"/>
      <c r="CE15" s="180"/>
      <c r="CF15" s="181">
        <f t="shared" ref="CF15:CF37" si="13">SUM(BR15:CE15)</f>
        <v>20650</v>
      </c>
    </row>
    <row r="16" ht="15.0" customHeight="1">
      <c r="A16" s="54"/>
      <c r="B16" s="169"/>
      <c r="H16" s="95"/>
      <c r="I16" s="54"/>
      <c r="J16" s="54"/>
      <c r="K16" s="130" t="str">
        <f>'Données à saisir'!A20</f>
        <v>Dépôt marque, brevet, modèle</v>
      </c>
      <c r="L16" s="2"/>
      <c r="M16" s="2"/>
      <c r="N16" s="2"/>
      <c r="O16" s="2"/>
      <c r="P16" s="2"/>
      <c r="Q16" s="142">
        <f>IF(ISBLANK('Données à saisir'!B20),"",'Données à saisir'!B20)</f>
        <v>500</v>
      </c>
      <c r="R16" s="54"/>
      <c r="S16" s="54"/>
      <c r="T16" s="130"/>
      <c r="U16" s="100" t="s">
        <v>202</v>
      </c>
      <c r="V16" s="2"/>
      <c r="W16" s="2"/>
      <c r="X16" s="131"/>
      <c r="Y16" s="182" t="str">
        <f t="shared" ref="Y16:Z16" si="7">IF(ISERROR((Y15-X15)/X15),"",(Y15-X15)/X15)</f>
        <v/>
      </c>
      <c r="Z16" s="183" t="str">
        <f t="shared" si="7"/>
        <v/>
      </c>
      <c r="AA16" s="54"/>
      <c r="AB16" s="54"/>
      <c r="AC16" s="173" t="s">
        <v>203</v>
      </c>
      <c r="AD16" s="174"/>
      <c r="AE16" s="174"/>
      <c r="AF16" s="174"/>
      <c r="AG16" s="184">
        <f t="shared" ref="AG16:AI16" si="8">AG10-AG13</f>
        <v>60984</v>
      </c>
      <c r="AH16" s="184">
        <f t="shared" si="8"/>
        <v>79279.2</v>
      </c>
      <c r="AI16" s="185">
        <f t="shared" si="8"/>
        <v>118918.8</v>
      </c>
      <c r="AJ16" s="54"/>
      <c r="AK16" s="54"/>
      <c r="AL16" s="173" t="s">
        <v>204</v>
      </c>
      <c r="AM16" s="174"/>
      <c r="AN16" s="174"/>
      <c r="AO16" s="184">
        <f>AO14-AO15</f>
        <v>60984</v>
      </c>
      <c r="AP16" s="186">
        <f t="shared" si="9"/>
        <v>0.7</v>
      </c>
      <c r="AQ16" s="184">
        <f>AQ14-AQ15</f>
        <v>79279.2</v>
      </c>
      <c r="AR16" s="187">
        <f t="shared" si="10"/>
        <v>0.7</v>
      </c>
      <c r="AS16" s="184">
        <f>AS14-AS15</f>
        <v>118918.8</v>
      </c>
      <c r="AT16" s="188">
        <f t="shared" si="11"/>
        <v>0.7</v>
      </c>
      <c r="AU16" s="54"/>
      <c r="AV16" s="54"/>
      <c r="AW16" s="139" t="s">
        <v>205</v>
      </c>
      <c r="AX16" s="2"/>
      <c r="AY16" s="2"/>
      <c r="AZ16" s="2"/>
      <c r="BA16" s="140">
        <f>SUM(AO17,AO19,AO20,AO22,AO24)</f>
        <v>18960</v>
      </c>
      <c r="BB16" s="140">
        <f>SUM(AQ17,AQ19,AQ20,AQ22,AQ24)</f>
        <v>2280</v>
      </c>
      <c r="BC16" s="189">
        <f>SUM(AS17,AS19,AS20,AS22,AS24)</f>
        <v>2280</v>
      </c>
      <c r="BD16" s="54"/>
      <c r="BE16" s="54"/>
      <c r="BF16" s="139" t="s">
        <v>206</v>
      </c>
      <c r="BG16" s="2"/>
      <c r="BH16" s="2"/>
      <c r="BI16" s="2"/>
      <c r="BJ16" s="140">
        <f>BA39</f>
        <v>0</v>
      </c>
      <c r="BK16" s="140">
        <f>BB39-BA39</f>
        <v>0</v>
      </c>
      <c r="BL16" s="141">
        <f>+BC39-BB39</f>
        <v>0</v>
      </c>
      <c r="BM16" s="54"/>
      <c r="BN16" s="54"/>
      <c r="BO16" s="139" t="s">
        <v>207</v>
      </c>
      <c r="BP16" s="2"/>
      <c r="BQ16" s="2"/>
      <c r="BR16" s="140">
        <f t="shared" si="12"/>
        <v>0</v>
      </c>
      <c r="BS16" s="140"/>
      <c r="BT16" s="140"/>
      <c r="BU16" s="140"/>
      <c r="BV16" s="141"/>
      <c r="BW16" s="54"/>
      <c r="BX16" s="54"/>
      <c r="BY16" s="190"/>
      <c r="BZ16" s="140"/>
      <c r="CA16" s="140"/>
      <c r="CB16" s="140"/>
      <c r="CC16" s="140"/>
      <c r="CD16" s="140"/>
      <c r="CE16" s="191"/>
      <c r="CF16" s="192">
        <f t="shared" si="13"/>
        <v>0</v>
      </c>
    </row>
    <row r="17" ht="15.0" customHeight="1">
      <c r="A17" s="54"/>
      <c r="B17" s="169"/>
      <c r="H17" s="95"/>
      <c r="I17" s="54"/>
      <c r="J17" s="54"/>
      <c r="K17" s="130" t="str">
        <f>'Données à saisir'!A21</f>
        <v>Droits d’entrée</v>
      </c>
      <c r="L17" s="2"/>
      <c r="M17" s="2"/>
      <c r="N17" s="2"/>
      <c r="O17" s="2"/>
      <c r="P17" s="2"/>
      <c r="Q17" s="142" t="str">
        <f>IF(ISBLANK('Données à saisir'!B21),"",'Données à saisir'!B21)</f>
        <v/>
      </c>
      <c r="R17" s="54"/>
      <c r="S17" s="54"/>
      <c r="T17" s="146" t="s">
        <v>208</v>
      </c>
      <c r="U17" s="2"/>
      <c r="V17" s="2"/>
      <c r="W17" s="2"/>
      <c r="X17" s="147" t="str">
        <f>'Données à saisir'!B137</f>
        <v/>
      </c>
      <c r="Y17" s="147" t="str">
        <f>'Données à saisir'!C137</f>
        <v/>
      </c>
      <c r="Z17" s="148" t="str">
        <f>'Données à saisir'!D137</f>
        <v/>
      </c>
      <c r="AA17" s="54"/>
      <c r="AB17" s="54"/>
      <c r="AC17" s="146" t="s">
        <v>209</v>
      </c>
      <c r="AD17" s="2"/>
      <c r="AE17" s="2"/>
      <c r="AF17" s="2"/>
      <c r="AG17" s="147">
        <f t="shared" ref="AG17:AI17" si="14">SUM(AG18:AG33)</f>
        <v>10080</v>
      </c>
      <c r="AH17" s="147">
        <f t="shared" si="14"/>
        <v>0</v>
      </c>
      <c r="AI17" s="193">
        <f t="shared" si="14"/>
        <v>0</v>
      </c>
      <c r="AJ17" s="54"/>
      <c r="AK17" s="54"/>
      <c r="AL17" s="172" t="s">
        <v>210</v>
      </c>
      <c r="AM17" s="2"/>
      <c r="AN17" s="2"/>
      <c r="AO17" s="140">
        <f>AG17</f>
        <v>10080</v>
      </c>
      <c r="AP17" s="161">
        <f t="shared" si="9"/>
        <v>0.1157024793</v>
      </c>
      <c r="AQ17" s="140">
        <f>AH17</f>
        <v>0</v>
      </c>
      <c r="AR17" s="162">
        <f t="shared" si="10"/>
        <v>0</v>
      </c>
      <c r="AS17" s="140">
        <f>AI17</f>
        <v>0</v>
      </c>
      <c r="AT17" s="163">
        <f t="shared" si="11"/>
        <v>0</v>
      </c>
      <c r="AU17" s="54"/>
      <c r="AV17" s="54"/>
      <c r="AW17" s="173" t="s">
        <v>211</v>
      </c>
      <c r="AX17" s="174"/>
      <c r="AY17" s="174"/>
      <c r="AZ17" s="174"/>
      <c r="BA17" s="184">
        <f t="shared" ref="BA17:BC17" si="15">BA12+BA16</f>
        <v>45096</v>
      </c>
      <c r="BB17" s="184">
        <f t="shared" si="15"/>
        <v>36256.8</v>
      </c>
      <c r="BC17" s="185">
        <f t="shared" si="15"/>
        <v>53245.2</v>
      </c>
      <c r="BD17" s="54"/>
      <c r="BE17" s="54"/>
      <c r="BF17" s="139" t="s">
        <v>212</v>
      </c>
      <c r="BG17" s="2"/>
      <c r="BH17" s="2"/>
      <c r="BI17" s="2"/>
      <c r="BJ17" s="140">
        <f>AO45</f>
        <v>0</v>
      </c>
      <c r="BK17" s="140">
        <f>AQ45</f>
        <v>0</v>
      </c>
      <c r="BL17" s="141">
        <f>AS45</f>
        <v>0</v>
      </c>
      <c r="BM17" s="54"/>
      <c r="BN17" s="54"/>
      <c r="BO17" s="139" t="s">
        <v>213</v>
      </c>
      <c r="BP17" s="2"/>
      <c r="BQ17" s="2"/>
      <c r="BR17" s="140">
        <f t="shared" si="12"/>
        <v>0</v>
      </c>
      <c r="BS17" s="140"/>
      <c r="BT17" s="140"/>
      <c r="BU17" s="140"/>
      <c r="BV17" s="141"/>
      <c r="BW17" s="54"/>
      <c r="BX17" s="54"/>
      <c r="BY17" s="190"/>
      <c r="BZ17" s="140"/>
      <c r="CA17" s="140"/>
      <c r="CB17" s="140"/>
      <c r="CC17" s="140"/>
      <c r="CD17" s="140"/>
      <c r="CE17" s="191"/>
      <c r="CF17" s="192">
        <f t="shared" si="13"/>
        <v>0</v>
      </c>
    </row>
    <row r="18" ht="15.0" customHeight="1">
      <c r="A18" s="54"/>
      <c r="B18" s="169"/>
      <c r="H18" s="95"/>
      <c r="I18" s="54"/>
      <c r="J18" s="54"/>
      <c r="K18" s="130" t="str">
        <f>'Données à saisir'!A22</f>
        <v>Achat fonds de commerce ou parts</v>
      </c>
      <c r="L18" s="2"/>
      <c r="M18" s="2"/>
      <c r="N18" s="2"/>
      <c r="O18" s="2"/>
      <c r="P18" s="2"/>
      <c r="Q18" s="142" t="str">
        <f>IF(ISBLANK('Données à saisir'!B22),"",'Données à saisir'!B22)</f>
        <v/>
      </c>
      <c r="R18" s="54"/>
      <c r="S18" s="54"/>
      <c r="T18" s="146"/>
      <c r="U18" s="2"/>
      <c r="V18" s="2"/>
      <c r="W18" s="2"/>
      <c r="X18" s="147"/>
      <c r="Y18" s="147"/>
      <c r="Z18" s="148"/>
      <c r="AA18" s="54"/>
      <c r="AB18" s="54"/>
      <c r="AC18" s="130" t="str">
        <f>'Données à saisir'!A77</f>
        <v>Assurances</v>
      </c>
      <c r="AD18" s="2"/>
      <c r="AE18" s="2"/>
      <c r="AF18" s="2"/>
      <c r="AG18" s="131">
        <f>IF(ISBLANK('Données à saisir'!B77),0,'Données à saisir'!B77)</f>
        <v>1200</v>
      </c>
      <c r="AH18" s="131">
        <f>IF(ISBLANK('Données à saisir'!C77),0,'Données à saisir'!C77)</f>
        <v>0</v>
      </c>
      <c r="AI18" s="132">
        <f>IF(ISBLANK('Données à saisir'!D77),0,'Données à saisir'!D77)</f>
        <v>0</v>
      </c>
      <c r="AJ18" s="54"/>
      <c r="AK18" s="54"/>
      <c r="AL18" s="173" t="s">
        <v>214</v>
      </c>
      <c r="AM18" s="174"/>
      <c r="AN18" s="174"/>
      <c r="AO18" s="184">
        <f>AO16-AO17</f>
        <v>50904</v>
      </c>
      <c r="AP18" s="186">
        <f t="shared" si="9"/>
        <v>0.5842975207</v>
      </c>
      <c r="AQ18" s="184">
        <f>AQ16-AQ17</f>
        <v>79279.2</v>
      </c>
      <c r="AR18" s="187">
        <f t="shared" si="10"/>
        <v>0.7</v>
      </c>
      <c r="AS18" s="184">
        <f>AS16-AS17</f>
        <v>118918.8</v>
      </c>
      <c r="AT18" s="188">
        <f t="shared" si="11"/>
        <v>0.7</v>
      </c>
      <c r="AU18" s="54"/>
      <c r="AV18" s="54"/>
      <c r="AW18" s="139" t="s">
        <v>215</v>
      </c>
      <c r="AX18" s="2"/>
      <c r="AY18" s="2"/>
      <c r="AZ18" s="2"/>
      <c r="BA18" s="140">
        <f t="shared" ref="BA18:BC18" si="16">AG44</f>
        <v>42024</v>
      </c>
      <c r="BB18" s="140">
        <f t="shared" si="16"/>
        <v>76999.2</v>
      </c>
      <c r="BC18" s="189">
        <f t="shared" si="16"/>
        <v>116638.8</v>
      </c>
      <c r="BD18" s="54"/>
      <c r="BE18" s="54"/>
      <c r="BF18" s="173" t="s">
        <v>216</v>
      </c>
      <c r="BG18" s="174"/>
      <c r="BH18" s="174"/>
      <c r="BI18" s="174"/>
      <c r="BJ18" s="194">
        <f t="shared" ref="BJ18:BL18" si="17">SUM(BJ14:BJ17)</f>
        <v>12650</v>
      </c>
      <c r="BK18" s="194">
        <f t="shared" si="17"/>
        <v>0</v>
      </c>
      <c r="BL18" s="195">
        <f t="shared" si="17"/>
        <v>0</v>
      </c>
      <c r="BM18" s="54"/>
      <c r="BN18" s="54"/>
      <c r="BO18" s="139" t="s">
        <v>217</v>
      </c>
      <c r="BP18" s="2"/>
      <c r="BQ18" s="2"/>
      <c r="BR18" s="140" t="str">
        <f t="shared" si="12"/>
        <v/>
      </c>
      <c r="BS18" s="140"/>
      <c r="BT18" s="140"/>
      <c r="BU18" s="140"/>
      <c r="BV18" s="141"/>
      <c r="BW18" s="54"/>
      <c r="BX18" s="54"/>
      <c r="BY18" s="190"/>
      <c r="BZ18" s="140"/>
      <c r="CA18" s="140"/>
      <c r="CB18" s="140"/>
      <c r="CC18" s="140"/>
      <c r="CD18" s="140"/>
      <c r="CE18" s="191"/>
      <c r="CF18" s="192">
        <f t="shared" si="13"/>
        <v>0</v>
      </c>
    </row>
    <row r="19" ht="15.0" customHeight="1">
      <c r="A19" s="54"/>
      <c r="B19" s="169"/>
      <c r="H19" s="95"/>
      <c r="I19" s="54"/>
      <c r="J19" s="54"/>
      <c r="K19" s="130" t="str">
        <f>'Données à saisir'!A23</f>
        <v>Droit au bail</v>
      </c>
      <c r="L19" s="2"/>
      <c r="M19" s="2"/>
      <c r="N19" s="2"/>
      <c r="O19" s="2"/>
      <c r="P19" s="2"/>
      <c r="Q19" s="142">
        <f>IF(ISBLANK('Données à saisir'!B23),"",'Données à saisir'!B23)</f>
        <v>750</v>
      </c>
      <c r="R19" s="54"/>
      <c r="S19" s="54"/>
      <c r="T19" s="121" t="s">
        <v>218</v>
      </c>
      <c r="U19" s="122"/>
      <c r="V19" s="122"/>
      <c r="W19" s="122"/>
      <c r="X19" s="123">
        <f>'Données à saisir'!B133</f>
        <v>6600</v>
      </c>
      <c r="Y19" s="123" t="str">
        <f>'Données à saisir'!C133</f>
        <v/>
      </c>
      <c r="Z19" s="166" t="str">
        <f>'Données à saisir'!D133</f>
        <v/>
      </c>
      <c r="AA19" s="54"/>
      <c r="AB19" s="54"/>
      <c r="AC19" s="130" t="str">
        <f>'Données à saisir'!A78</f>
        <v>Téléphone, internet</v>
      </c>
      <c r="AD19" s="2"/>
      <c r="AE19" s="2"/>
      <c r="AF19" s="2"/>
      <c r="AG19" s="131">
        <f>IF(ISBLANK('Données à saisir'!B78),0,'Données à saisir'!B78)</f>
        <v>600</v>
      </c>
      <c r="AH19" s="131">
        <f>IF(ISBLANK('Données à saisir'!C78),0,'Données à saisir'!C78)</f>
        <v>0</v>
      </c>
      <c r="AI19" s="132">
        <f>IF(ISBLANK('Données à saisir'!D78),0,'Données à saisir'!D78)</f>
        <v>0</v>
      </c>
      <c r="AJ19" s="54"/>
      <c r="AK19" s="54"/>
      <c r="AL19" s="134" t="s">
        <v>219</v>
      </c>
      <c r="AM19" s="1"/>
      <c r="AN19" s="1"/>
      <c r="AO19" s="140">
        <f>AG36</f>
        <v>0</v>
      </c>
      <c r="AP19" s="161">
        <f t="shared" si="9"/>
        <v>0</v>
      </c>
      <c r="AQ19" s="140">
        <f>AH36</f>
        <v>0</v>
      </c>
      <c r="AR19" s="162">
        <f t="shared" si="10"/>
        <v>0</v>
      </c>
      <c r="AS19" s="140">
        <f>AI36</f>
        <v>0</v>
      </c>
      <c r="AT19" s="163">
        <f t="shared" si="11"/>
        <v>0</v>
      </c>
      <c r="AU19" s="54"/>
      <c r="AV19" s="54"/>
      <c r="AW19" s="173" t="s">
        <v>220</v>
      </c>
      <c r="AX19" s="174"/>
      <c r="AY19" s="174"/>
      <c r="AZ19" s="174"/>
      <c r="BA19" s="184">
        <f t="shared" ref="BA19:BC19" si="18">IF(ISERROR(BA16/BA15),0,BA16/BA15)</f>
        <v>27085.71429</v>
      </c>
      <c r="BB19" s="184">
        <f t="shared" si="18"/>
        <v>3257.142857</v>
      </c>
      <c r="BC19" s="185">
        <f t="shared" si="18"/>
        <v>3257.142857</v>
      </c>
      <c r="BD19" s="54"/>
      <c r="BE19" s="54"/>
      <c r="BF19" s="139" t="s">
        <v>201</v>
      </c>
      <c r="BG19" s="2"/>
      <c r="BH19" s="2"/>
      <c r="BI19" s="2"/>
      <c r="BJ19" s="140">
        <f>Q37</f>
        <v>20650</v>
      </c>
      <c r="BK19" s="140"/>
      <c r="BL19" s="189"/>
      <c r="BM19" s="54"/>
      <c r="BN19" s="54"/>
      <c r="BO19" s="177" t="s">
        <v>221</v>
      </c>
      <c r="BP19" s="150"/>
      <c r="BQ19" s="150"/>
      <c r="BR19" s="151">
        <f>'Données à saisir'!D103</f>
        <v>7260</v>
      </c>
      <c r="BS19" s="151">
        <f>'Données à saisir'!D104</f>
        <v>7260</v>
      </c>
      <c r="BT19" s="151">
        <f>'Données à saisir'!D105</f>
        <v>7260</v>
      </c>
      <c r="BU19" s="151">
        <f>'Données à saisir'!D106</f>
        <v>7260</v>
      </c>
      <c r="BV19" s="196">
        <f>'Données à saisir'!D107</f>
        <v>7260</v>
      </c>
      <c r="BW19" s="54"/>
      <c r="BX19" s="54"/>
      <c r="BY19" s="197">
        <f>'Données à saisir'!D108</f>
        <v>7260</v>
      </c>
      <c r="BZ19" s="151">
        <f>'Données à saisir'!D109</f>
        <v>7260</v>
      </c>
      <c r="CA19" s="151">
        <f>'Données à saisir'!D110</f>
        <v>7260</v>
      </c>
      <c r="CB19" s="151">
        <f>'Données à saisir'!D111</f>
        <v>7260</v>
      </c>
      <c r="CC19" s="151">
        <f>'Données à saisir'!D112</f>
        <v>7260</v>
      </c>
      <c r="CD19" s="151">
        <f>'Données à saisir'!D113</f>
        <v>7260</v>
      </c>
      <c r="CE19" s="198">
        <f>'Données à saisir'!D114</f>
        <v>7260</v>
      </c>
      <c r="CF19" s="199">
        <f t="shared" si="13"/>
        <v>87120</v>
      </c>
    </row>
    <row r="20" ht="15.0" customHeight="1">
      <c r="A20" s="54"/>
      <c r="B20" s="169"/>
      <c r="H20" s="95"/>
      <c r="I20" s="54"/>
      <c r="J20" s="54"/>
      <c r="K20" s="130" t="str">
        <f>'Données à saisir'!A24</f>
        <v>Caution ou dépôt de garantie</v>
      </c>
      <c r="L20" s="2"/>
      <c r="M20" s="2"/>
      <c r="N20" s="2"/>
      <c r="O20" s="2"/>
      <c r="P20" s="2"/>
      <c r="Q20" s="142" t="str">
        <f>IF(ISBLANK('Données à saisir'!B24),"",'Données à saisir'!B24)</f>
        <v/>
      </c>
      <c r="R20" s="54"/>
      <c r="S20" s="54"/>
      <c r="T20" s="130"/>
      <c r="U20" s="100" t="s">
        <v>202</v>
      </c>
      <c r="V20" s="2"/>
      <c r="W20" s="2"/>
      <c r="X20" s="131"/>
      <c r="Y20" s="182">
        <f t="shared" ref="Y20:Z20" si="19">IF(ISERROR((Y19-X19)/X19),"",(Y19-X19)/X19)</f>
        <v>-1</v>
      </c>
      <c r="Z20" s="183" t="str">
        <f t="shared" si="19"/>
        <v/>
      </c>
      <c r="AA20" s="54"/>
      <c r="AB20" s="54"/>
      <c r="AC20" s="130" t="str">
        <f>'Données à saisir'!A79</f>
        <v>Autres abonnements</v>
      </c>
      <c r="AD20" s="2"/>
      <c r="AE20" s="2"/>
      <c r="AF20" s="2"/>
      <c r="AG20" s="131">
        <f>IF(ISBLANK('Données à saisir'!B79),0,'Données à saisir'!B79)</f>
        <v>720</v>
      </c>
      <c r="AH20" s="131">
        <f>IF(ISBLANK('Données à saisir'!C79),0,'Données à saisir'!C79)</f>
        <v>0</v>
      </c>
      <c r="AI20" s="132">
        <f>IF(ISBLANK('Données à saisir'!D79),0,'Données à saisir'!D79)</f>
        <v>0</v>
      </c>
      <c r="AJ20" s="54"/>
      <c r="AK20" s="54"/>
      <c r="AL20" s="134" t="s">
        <v>222</v>
      </c>
      <c r="AM20" s="1"/>
      <c r="AN20" s="1"/>
      <c r="AO20" s="140">
        <f>SUM(AG37:AG40)</f>
        <v>6600</v>
      </c>
      <c r="AP20" s="161">
        <f t="shared" si="9"/>
        <v>0.07575757576</v>
      </c>
      <c r="AQ20" s="140">
        <f>SUM(AH37:AH40)</f>
        <v>0</v>
      </c>
      <c r="AR20" s="162">
        <f t="shared" si="10"/>
        <v>0</v>
      </c>
      <c r="AS20" s="140">
        <f>SUM(AI37:AI40)</f>
        <v>0</v>
      </c>
      <c r="AT20" s="163">
        <f t="shared" si="11"/>
        <v>0</v>
      </c>
      <c r="AU20" s="54"/>
      <c r="AV20" s="54"/>
      <c r="AW20" s="139" t="s">
        <v>223</v>
      </c>
      <c r="AX20" s="2"/>
      <c r="AY20" s="2"/>
      <c r="AZ20" s="2"/>
      <c r="BA20" s="140">
        <f t="shared" ref="BA20:BC20" si="20">BA11-BA19</f>
        <v>60034.28571</v>
      </c>
      <c r="BB20" s="140">
        <f t="shared" si="20"/>
        <v>109998.8571</v>
      </c>
      <c r="BC20" s="141">
        <f t="shared" si="20"/>
        <v>166626.8571</v>
      </c>
      <c r="BD20" s="54"/>
      <c r="BE20" s="54"/>
      <c r="BF20" s="139" t="s">
        <v>207</v>
      </c>
      <c r="BG20" s="2"/>
      <c r="BH20" s="2"/>
      <c r="BI20" s="2"/>
      <c r="BJ20" s="140">
        <f>Q40</f>
        <v>0</v>
      </c>
      <c r="BK20" s="140"/>
      <c r="BL20" s="189"/>
      <c r="BM20" s="54"/>
      <c r="BN20" s="54"/>
      <c r="BO20" s="139" t="s">
        <v>224</v>
      </c>
      <c r="BP20" s="2"/>
      <c r="BQ20" s="2"/>
      <c r="BR20" s="140">
        <f>'Données à saisir'!I103</f>
        <v>0</v>
      </c>
      <c r="BS20" s="140">
        <f>'Données à saisir'!I104</f>
        <v>0</v>
      </c>
      <c r="BT20" s="140">
        <f>'Données à saisir'!I105</f>
        <v>0</v>
      </c>
      <c r="BU20" s="140">
        <f>'Données à saisir'!I106</f>
        <v>0</v>
      </c>
      <c r="BV20" s="189">
        <f>'Données à saisir'!I107</f>
        <v>0</v>
      </c>
      <c r="BW20" s="54"/>
      <c r="BX20" s="54"/>
      <c r="BY20" s="190">
        <f>'Données à saisir'!I108</f>
        <v>0</v>
      </c>
      <c r="BZ20" s="140">
        <f>'Données à saisir'!I109</f>
        <v>0</v>
      </c>
      <c r="CA20" s="140">
        <f>'Données à saisir'!I110</f>
        <v>0</v>
      </c>
      <c r="CB20" s="140">
        <f>'Données à saisir'!I111</f>
        <v>0</v>
      </c>
      <c r="CC20" s="140">
        <f>'Données à saisir'!I112</f>
        <v>0</v>
      </c>
      <c r="CD20" s="140">
        <f>'Données à saisir'!I113</f>
        <v>0</v>
      </c>
      <c r="CE20" s="191">
        <f>'Données à saisir'!I114</f>
        <v>0</v>
      </c>
      <c r="CF20" s="192">
        <f t="shared" si="13"/>
        <v>0</v>
      </c>
    </row>
    <row r="21" ht="15.0" customHeight="1">
      <c r="A21" s="54"/>
      <c r="B21" s="200"/>
      <c r="C21" s="201"/>
      <c r="D21" s="201"/>
      <c r="E21" s="201"/>
      <c r="F21" s="201"/>
      <c r="G21" s="201"/>
      <c r="H21" s="202"/>
      <c r="I21" s="54"/>
      <c r="J21" s="54"/>
      <c r="K21" s="130" t="str">
        <f>'Données à saisir'!A25</f>
        <v>Frais de dossier</v>
      </c>
      <c r="L21" s="2"/>
      <c r="M21" s="2"/>
      <c r="N21" s="2"/>
      <c r="O21" s="2"/>
      <c r="P21" s="2"/>
      <c r="Q21" s="142" t="str">
        <f>IF(ISBLANK('Données à saisir'!B25),"",'Données à saisir'!B25)</f>
        <v/>
      </c>
      <c r="R21" s="54"/>
      <c r="S21" s="54"/>
      <c r="T21" s="146" t="s">
        <v>225</v>
      </c>
      <c r="U21" s="2"/>
      <c r="V21" s="2"/>
      <c r="W21" s="2"/>
      <c r="X21" s="147" t="str">
        <f>'Données à saisir'!B134</f>
        <v/>
      </c>
      <c r="Y21" s="147" t="str">
        <f>'Données à saisir'!C134</f>
        <v/>
      </c>
      <c r="Z21" s="148" t="str">
        <f>'Données à saisir'!D134</f>
        <v/>
      </c>
      <c r="AA21" s="54"/>
      <c r="AB21" s="54"/>
      <c r="AC21" s="130" t="str">
        <f>'Données à saisir'!A80</f>
        <v>Carburant</v>
      </c>
      <c r="AD21" s="2"/>
      <c r="AE21" s="2"/>
      <c r="AF21" s="2"/>
      <c r="AG21" s="131">
        <f>IF(ISBLANK('Données à saisir'!B80),0,'Données à saisir'!B80)</f>
        <v>0</v>
      </c>
      <c r="AH21" s="131">
        <f>IF(ISBLANK('Données à saisir'!C80),0,'Données à saisir'!C80)</f>
        <v>0</v>
      </c>
      <c r="AI21" s="132">
        <f>IF(ISBLANK('Données à saisir'!D80),0,'Données à saisir'!D80)</f>
        <v>0</v>
      </c>
      <c r="AJ21" s="54"/>
      <c r="AK21" s="54"/>
      <c r="AL21" s="173" t="s">
        <v>226</v>
      </c>
      <c r="AM21" s="174"/>
      <c r="AN21" s="174"/>
      <c r="AO21" s="184">
        <f>AO18-AO19-AO20</f>
        <v>44304</v>
      </c>
      <c r="AP21" s="186">
        <f t="shared" si="9"/>
        <v>0.5085399449</v>
      </c>
      <c r="AQ21" s="184">
        <f>AQ18-AQ19-AQ20</f>
        <v>79279.2</v>
      </c>
      <c r="AR21" s="187">
        <f t="shared" si="10"/>
        <v>0.7</v>
      </c>
      <c r="AS21" s="184">
        <f>AS18-AS19-AS20</f>
        <v>118918.8</v>
      </c>
      <c r="AT21" s="188">
        <f t="shared" si="11"/>
        <v>0.7</v>
      </c>
      <c r="AU21" s="54"/>
      <c r="AV21" s="54"/>
      <c r="AW21" s="203" t="s">
        <v>227</v>
      </c>
      <c r="AX21" s="204"/>
      <c r="AY21" s="204"/>
      <c r="AZ21" s="204"/>
      <c r="BA21" s="205">
        <f t="shared" ref="BA21:BC21" si="21">BA19/250</f>
        <v>108.3428571</v>
      </c>
      <c r="BB21" s="205">
        <f t="shared" si="21"/>
        <v>13.02857143</v>
      </c>
      <c r="BC21" s="206">
        <f t="shared" si="21"/>
        <v>13.02857143</v>
      </c>
      <c r="BD21" s="54"/>
      <c r="BE21" s="54"/>
      <c r="BF21" s="139" t="s">
        <v>213</v>
      </c>
      <c r="BG21" s="2"/>
      <c r="BH21" s="2"/>
      <c r="BI21" s="2"/>
      <c r="BJ21" s="140">
        <f>Q44+Q45</f>
        <v>0</v>
      </c>
      <c r="BK21" s="140"/>
      <c r="BL21" s="189"/>
      <c r="BM21" s="54"/>
      <c r="BN21" s="54"/>
      <c r="BO21" s="173" t="s">
        <v>228</v>
      </c>
      <c r="BP21" s="174"/>
      <c r="BQ21" s="174"/>
      <c r="BR21" s="184">
        <f t="shared" ref="BR21:BV21" si="22">SUM(BR19:BR20)</f>
        <v>7260</v>
      </c>
      <c r="BS21" s="184">
        <f t="shared" si="22"/>
        <v>7260</v>
      </c>
      <c r="BT21" s="184">
        <f t="shared" si="22"/>
        <v>7260</v>
      </c>
      <c r="BU21" s="184">
        <f t="shared" si="22"/>
        <v>7260</v>
      </c>
      <c r="BV21" s="185">
        <f t="shared" si="22"/>
        <v>7260</v>
      </c>
      <c r="BW21" s="54"/>
      <c r="BX21" s="54"/>
      <c r="BY21" s="207">
        <f t="shared" ref="BY21:CE21" si="23">SUM(BY19:BY20)</f>
        <v>7260</v>
      </c>
      <c r="BZ21" s="184">
        <f t="shared" si="23"/>
        <v>7260</v>
      </c>
      <c r="CA21" s="184">
        <f t="shared" si="23"/>
        <v>7260</v>
      </c>
      <c r="CB21" s="184">
        <f t="shared" si="23"/>
        <v>7260</v>
      </c>
      <c r="CC21" s="184">
        <f t="shared" si="23"/>
        <v>7260</v>
      </c>
      <c r="CD21" s="184">
        <f t="shared" si="23"/>
        <v>7260</v>
      </c>
      <c r="CE21" s="208">
        <f t="shared" si="23"/>
        <v>7260</v>
      </c>
      <c r="CF21" s="209">
        <f t="shared" si="13"/>
        <v>87120</v>
      </c>
    </row>
    <row r="22" ht="15.0" customHeight="1">
      <c r="A22" s="54"/>
      <c r="B22" s="88"/>
      <c r="C22" s="81"/>
      <c r="D22" s="81"/>
      <c r="E22" s="81"/>
      <c r="F22" s="81"/>
      <c r="G22" s="81"/>
      <c r="H22" s="91"/>
      <c r="I22" s="54"/>
      <c r="J22" s="54"/>
      <c r="K22" s="130" t="str">
        <f>'Données à saisir'!A26</f>
        <v>Frais de notaire ou d’avocat</v>
      </c>
      <c r="L22" s="2"/>
      <c r="M22" s="2"/>
      <c r="N22" s="2"/>
      <c r="O22" s="2"/>
      <c r="P22" s="2"/>
      <c r="Q22" s="142" t="str">
        <f>IF(ISBLANK('Données à saisir'!B26),"",'Données à saisir'!B26)</f>
        <v/>
      </c>
      <c r="R22" s="54"/>
      <c r="S22" s="54"/>
      <c r="T22" s="210"/>
      <c r="U22" s="204"/>
      <c r="V22" s="204"/>
      <c r="W22" s="204"/>
      <c r="X22" s="211"/>
      <c r="Y22" s="211"/>
      <c r="Z22" s="212"/>
      <c r="AA22" s="54"/>
      <c r="AB22" s="54"/>
      <c r="AC22" s="130" t="str">
        <f>'Données à saisir'!A81</f>
        <v>Frais de déplacement et hébergement</v>
      </c>
      <c r="AD22" s="2"/>
      <c r="AE22" s="2"/>
      <c r="AF22" s="2"/>
      <c r="AG22" s="131">
        <f>IF(ISBLANK('Données à saisir'!B81),0,'Données à saisir'!B81)</f>
        <v>0</v>
      </c>
      <c r="AH22" s="131">
        <f>IF(ISBLANK('Données à saisir'!C81),0,'Données à saisir'!C81)</f>
        <v>0</v>
      </c>
      <c r="AI22" s="132">
        <f>IF(ISBLANK('Données à saisir'!D81),0,'Données à saisir'!D81)</f>
        <v>0</v>
      </c>
      <c r="AJ22" s="54"/>
      <c r="AK22" s="54"/>
      <c r="AL22" s="134" t="s">
        <v>229</v>
      </c>
      <c r="AM22" s="2"/>
      <c r="AN22" s="2"/>
      <c r="AO22" s="140">
        <f>AG43</f>
        <v>2280</v>
      </c>
      <c r="AP22" s="161">
        <f t="shared" si="9"/>
        <v>0.0261707989</v>
      </c>
      <c r="AQ22" s="140">
        <f>AH43</f>
        <v>2280</v>
      </c>
      <c r="AR22" s="162">
        <f t="shared" si="10"/>
        <v>0.02013138377</v>
      </c>
      <c r="AS22" s="140">
        <f>AI43</f>
        <v>2280</v>
      </c>
      <c r="AT22" s="163">
        <f t="shared" si="11"/>
        <v>0.01342092251</v>
      </c>
      <c r="AU22" s="54"/>
      <c r="AV22" s="54"/>
      <c r="AW22" s="54"/>
      <c r="AX22" s="54"/>
      <c r="AY22" s="54"/>
      <c r="AZ22" s="54"/>
      <c r="BA22" s="213"/>
      <c r="BB22" s="54"/>
      <c r="BC22" s="54"/>
      <c r="BD22" s="54"/>
      <c r="BE22" s="54"/>
      <c r="BF22" s="139" t="s">
        <v>217</v>
      </c>
      <c r="BG22" s="2"/>
      <c r="BH22" s="2"/>
      <c r="BI22" s="2"/>
      <c r="BJ22" s="140" t="str">
        <f>Q46</f>
        <v/>
      </c>
      <c r="BK22" s="140"/>
      <c r="BL22" s="189"/>
      <c r="BM22" s="54"/>
      <c r="BN22" s="54"/>
      <c r="BO22" s="139" t="s">
        <v>188</v>
      </c>
      <c r="BP22" s="2"/>
      <c r="BQ22" s="2"/>
      <c r="BR22" s="140">
        <f>Q12</f>
        <v>1250</v>
      </c>
      <c r="BS22" s="147"/>
      <c r="BT22" s="147"/>
      <c r="BU22" s="147"/>
      <c r="BV22" s="193"/>
      <c r="BW22" s="54"/>
      <c r="BX22" s="54"/>
      <c r="BY22" s="190"/>
      <c r="BZ22" s="147"/>
      <c r="CA22" s="140"/>
      <c r="CB22" s="140"/>
      <c r="CC22" s="147"/>
      <c r="CD22" s="147"/>
      <c r="CE22" s="214"/>
      <c r="CF22" s="192">
        <f t="shared" si="13"/>
        <v>1250</v>
      </c>
    </row>
    <row r="23" ht="15.0" customHeight="1">
      <c r="A23" s="54"/>
      <c r="B23" s="88"/>
      <c r="C23" s="215" t="str">
        <f>IF(ISBLANK('Données à saisir'!B6),"",('Données à saisir'!B6))</f>
        <v>Gracy Omokoso</v>
      </c>
      <c r="H23" s="91"/>
      <c r="I23" s="54"/>
      <c r="J23" s="54"/>
      <c r="K23" s="134" t="s">
        <v>230</v>
      </c>
      <c r="L23" s="2"/>
      <c r="M23" s="2"/>
      <c r="N23" s="2"/>
      <c r="O23" s="2"/>
      <c r="P23" s="2"/>
      <c r="Q23" s="135">
        <f>SUM(Q24:Q28)</f>
        <v>11400</v>
      </c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130" t="str">
        <f>'Données à saisir'!A82</f>
        <v>Eau, électricité, gaz</v>
      </c>
      <c r="AD23" s="2"/>
      <c r="AE23" s="2"/>
      <c r="AF23" s="2"/>
      <c r="AG23" s="131">
        <f>IF(ISBLANK('Données à saisir'!B82),0,'Données à saisir'!B82)</f>
        <v>0</v>
      </c>
      <c r="AH23" s="131">
        <f>IF(ISBLANK('Données à saisir'!C82),0,'Données à saisir'!C82)</f>
        <v>0</v>
      </c>
      <c r="AI23" s="132">
        <f>IF(ISBLANK('Données à saisir'!D82),0,'Données à saisir'!D82)</f>
        <v>0</v>
      </c>
      <c r="AJ23" s="54"/>
      <c r="AK23" s="54"/>
      <c r="AL23" s="173" t="s">
        <v>231</v>
      </c>
      <c r="AM23" s="174"/>
      <c r="AN23" s="174"/>
      <c r="AO23" s="184">
        <f>AO21-AO22</f>
        <v>42024</v>
      </c>
      <c r="AP23" s="186">
        <f t="shared" si="9"/>
        <v>0.482369146</v>
      </c>
      <c r="AQ23" s="184">
        <f>AQ21-AQ22</f>
        <v>76999.2</v>
      </c>
      <c r="AR23" s="187">
        <f t="shared" si="10"/>
        <v>0.6798686162</v>
      </c>
      <c r="AS23" s="184">
        <f>AS21-AS22</f>
        <v>116638.8</v>
      </c>
      <c r="AT23" s="188">
        <f t="shared" si="11"/>
        <v>0.6865790775</v>
      </c>
      <c r="AU23" s="54"/>
      <c r="AV23" s="54"/>
      <c r="AW23" s="216"/>
      <c r="AX23" s="81"/>
      <c r="AY23" s="81"/>
      <c r="AZ23" s="81"/>
      <c r="BA23" s="217"/>
      <c r="BB23" s="217"/>
      <c r="BC23" s="217"/>
      <c r="BD23" s="54"/>
      <c r="BE23" s="54"/>
      <c r="BF23" s="139" t="s">
        <v>232</v>
      </c>
      <c r="BG23" s="2"/>
      <c r="BH23" s="2"/>
      <c r="BI23" s="2"/>
      <c r="BJ23" s="140">
        <f>AO44</f>
        <v>44304</v>
      </c>
      <c r="BK23" s="140">
        <f>AQ44</f>
        <v>79279.2</v>
      </c>
      <c r="BL23" s="189">
        <f>AS44</f>
        <v>118918.8</v>
      </c>
      <c r="BM23" s="54"/>
      <c r="BN23" s="54"/>
      <c r="BO23" s="139" t="s">
        <v>230</v>
      </c>
      <c r="BP23" s="2"/>
      <c r="BQ23" s="2"/>
      <c r="BR23" s="140">
        <f>Q23</f>
        <v>11400</v>
      </c>
      <c r="BS23" s="140"/>
      <c r="BT23" s="140"/>
      <c r="BU23" s="140"/>
      <c r="BV23" s="141"/>
      <c r="BW23" s="54"/>
      <c r="BX23" s="54"/>
      <c r="BY23" s="190"/>
      <c r="BZ23" s="140"/>
      <c r="CA23" s="140"/>
      <c r="CB23" s="140"/>
      <c r="CC23" s="140"/>
      <c r="CD23" s="140"/>
      <c r="CE23" s="191"/>
      <c r="CF23" s="192">
        <f t="shared" si="13"/>
        <v>11400</v>
      </c>
    </row>
    <row r="24" ht="15.0" customHeight="1">
      <c r="A24" s="54"/>
      <c r="B24" s="88"/>
      <c r="H24" s="91"/>
      <c r="I24" s="54"/>
      <c r="J24" s="54"/>
      <c r="K24" s="130" t="str">
        <f>'Données à saisir'!A27</f>
        <v>Enseigne et éléments de communication</v>
      </c>
      <c r="L24" s="2"/>
      <c r="M24" s="2"/>
      <c r="N24" s="2"/>
      <c r="O24" s="2"/>
      <c r="P24" s="2"/>
      <c r="Q24" s="142">
        <f>IF(ISBLANK('Données à saisir'!B27),"",'Données à saisir'!B27)</f>
        <v>4200</v>
      </c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130" t="str">
        <f>'Données à saisir'!A83</f>
        <v>Mutuelle</v>
      </c>
      <c r="AD24" s="2"/>
      <c r="AE24" s="2"/>
      <c r="AF24" s="2"/>
      <c r="AG24" s="131">
        <f>IF(ISBLANK('Données à saisir'!B83),0,'Données à saisir'!B83)</f>
        <v>0</v>
      </c>
      <c r="AH24" s="131">
        <f>IF(ISBLANK('Données à saisir'!C83),0,'Données à saisir'!C83)</f>
        <v>0</v>
      </c>
      <c r="AI24" s="132">
        <f>IF(ISBLANK('Données à saisir'!D83),0,'Données à saisir'!D83)</f>
        <v>0</v>
      </c>
      <c r="AJ24" s="54"/>
      <c r="AK24" s="54"/>
      <c r="AL24" s="134" t="s">
        <v>233</v>
      </c>
      <c r="AM24" s="1"/>
      <c r="AN24" s="1"/>
      <c r="AO24" s="140">
        <f>AG42</f>
        <v>0</v>
      </c>
      <c r="AP24" s="161">
        <f t="shared" si="9"/>
        <v>0</v>
      </c>
      <c r="AQ24" s="140">
        <f>AH42</f>
        <v>0</v>
      </c>
      <c r="AR24" s="162">
        <f t="shared" si="10"/>
        <v>0</v>
      </c>
      <c r="AS24" s="140">
        <f>AI42</f>
        <v>0</v>
      </c>
      <c r="AT24" s="163">
        <f t="shared" si="11"/>
        <v>0</v>
      </c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173" t="s">
        <v>234</v>
      </c>
      <c r="BG24" s="174"/>
      <c r="BH24" s="174"/>
      <c r="BI24" s="174"/>
      <c r="BJ24" s="184">
        <f t="shared" ref="BJ24:BL24" si="24">SUM(BJ19:BJ23)</f>
        <v>64954</v>
      </c>
      <c r="BK24" s="184">
        <f t="shared" si="24"/>
        <v>79279.2</v>
      </c>
      <c r="BL24" s="185">
        <f t="shared" si="24"/>
        <v>118918.8</v>
      </c>
      <c r="BM24" s="54"/>
      <c r="BN24" s="54"/>
      <c r="BO24" s="173" t="s">
        <v>235</v>
      </c>
      <c r="BP24" s="174"/>
      <c r="BQ24" s="174"/>
      <c r="BR24" s="184">
        <f>SUM(BR22:BR23)</f>
        <v>12650</v>
      </c>
      <c r="BS24" s="184"/>
      <c r="BT24" s="184"/>
      <c r="BU24" s="184"/>
      <c r="BV24" s="185"/>
      <c r="BW24" s="54"/>
      <c r="BX24" s="54"/>
      <c r="BY24" s="207"/>
      <c r="BZ24" s="184"/>
      <c r="CA24" s="184"/>
      <c r="CB24" s="184"/>
      <c r="CC24" s="184"/>
      <c r="CD24" s="184"/>
      <c r="CE24" s="208"/>
      <c r="CF24" s="209">
        <f t="shared" si="13"/>
        <v>12650</v>
      </c>
    </row>
    <row r="25" ht="15.0" customHeight="1">
      <c r="A25" s="54"/>
      <c r="B25" s="88"/>
      <c r="H25" s="91"/>
      <c r="I25" s="54"/>
      <c r="J25" s="54"/>
      <c r="K25" s="130" t="str">
        <f>'Données à saisir'!A28</f>
        <v>Achat immobilier</v>
      </c>
      <c r="L25" s="2"/>
      <c r="M25" s="2"/>
      <c r="N25" s="2"/>
      <c r="O25" s="2"/>
      <c r="P25" s="2"/>
      <c r="Q25" s="142" t="str">
        <f>IF(ISBLANK('Données à saisir'!B28),"",'Données à saisir'!B28)</f>
        <v/>
      </c>
      <c r="R25" s="54"/>
      <c r="S25" s="54"/>
      <c r="T25" s="85" t="s">
        <v>236</v>
      </c>
      <c r="U25" s="86"/>
      <c r="V25" s="86"/>
      <c r="W25" s="86"/>
      <c r="X25" s="86"/>
      <c r="Y25" s="86"/>
      <c r="Z25" s="87"/>
      <c r="AA25" s="54"/>
      <c r="AB25" s="54"/>
      <c r="AC25" s="130" t="str">
        <f>'Données à saisir'!A84</f>
        <v>Fournitures diverses</v>
      </c>
      <c r="AD25" s="2"/>
      <c r="AE25" s="2"/>
      <c r="AF25" s="2"/>
      <c r="AG25" s="131">
        <f>IF(ISBLANK('Données à saisir'!B84),0,'Données à saisir'!B84)</f>
        <v>0</v>
      </c>
      <c r="AH25" s="131">
        <f>IF(ISBLANK('Données à saisir'!C84),0,'Données à saisir'!C84)</f>
        <v>0</v>
      </c>
      <c r="AI25" s="132">
        <f>IF(ISBLANK('Données à saisir'!D84),0,'Données à saisir'!D84)</f>
        <v>0</v>
      </c>
      <c r="AJ25" s="54"/>
      <c r="AK25" s="54"/>
      <c r="AL25" s="134" t="s">
        <v>237</v>
      </c>
      <c r="AM25" s="1"/>
      <c r="AN25" s="1"/>
      <c r="AO25" s="140">
        <f>AO24*-1</f>
        <v>0</v>
      </c>
      <c r="AP25" s="161">
        <f t="shared" si="9"/>
        <v>0</v>
      </c>
      <c r="AQ25" s="140">
        <f>AQ24*-1</f>
        <v>0</v>
      </c>
      <c r="AR25" s="162">
        <f t="shared" si="10"/>
        <v>0</v>
      </c>
      <c r="AS25" s="140">
        <f>AS24*-1</f>
        <v>0</v>
      </c>
      <c r="AT25" s="163">
        <f t="shared" si="11"/>
        <v>0</v>
      </c>
      <c r="AU25" s="54"/>
      <c r="AV25" s="54"/>
      <c r="AW25" s="54"/>
      <c r="AX25" s="54"/>
      <c r="AY25" s="54"/>
      <c r="AZ25" s="54"/>
      <c r="BA25" s="213"/>
      <c r="BB25" s="54"/>
      <c r="BC25" s="54"/>
      <c r="BD25" s="54"/>
      <c r="BE25" s="54"/>
      <c r="BF25" s="139" t="s">
        <v>238</v>
      </c>
      <c r="BG25" s="2"/>
      <c r="BH25" s="2"/>
      <c r="BI25" s="2"/>
      <c r="BJ25" s="140">
        <f t="shared" ref="BJ25:BL25" si="25">BJ24-BJ18</f>
        <v>52304</v>
      </c>
      <c r="BK25" s="140">
        <f t="shared" si="25"/>
        <v>79279.2</v>
      </c>
      <c r="BL25" s="141">
        <f t="shared" si="25"/>
        <v>118918.8</v>
      </c>
      <c r="BM25" s="54"/>
      <c r="BN25" s="54"/>
      <c r="BO25" s="139" t="s">
        <v>200</v>
      </c>
      <c r="BP25" s="2"/>
      <c r="BQ25" s="2"/>
      <c r="BR25" s="140" t="str">
        <f>Q30</f>
        <v/>
      </c>
      <c r="BS25" s="140"/>
      <c r="BT25" s="140"/>
      <c r="BU25" s="140"/>
      <c r="BV25" s="141"/>
      <c r="BW25" s="54"/>
      <c r="BX25" s="54"/>
      <c r="BY25" s="190"/>
      <c r="BZ25" s="140"/>
      <c r="CA25" s="140"/>
      <c r="CB25" s="140"/>
      <c r="CC25" s="140"/>
      <c r="CD25" s="140"/>
      <c r="CE25" s="191"/>
      <c r="CF25" s="192">
        <f t="shared" si="13"/>
        <v>0</v>
      </c>
    </row>
    <row r="26" ht="15.0" customHeight="1">
      <c r="A26" s="54"/>
      <c r="B26" s="88"/>
      <c r="C26" s="215"/>
      <c r="D26" s="215"/>
      <c r="E26" s="215"/>
      <c r="F26" s="215"/>
      <c r="G26" s="215"/>
      <c r="H26" s="91"/>
      <c r="I26" s="54"/>
      <c r="J26" s="54"/>
      <c r="K26" s="130" t="str">
        <f>'Données à saisir'!A29</f>
        <v>Travaux et aménagements</v>
      </c>
      <c r="L26" s="2"/>
      <c r="M26" s="2"/>
      <c r="N26" s="2"/>
      <c r="O26" s="2"/>
      <c r="P26" s="2"/>
      <c r="Q26" s="142" t="str">
        <f>IF(ISBLANK('Données à saisir'!B29),"",'Données à saisir'!B29)</f>
        <v/>
      </c>
      <c r="R26" s="54"/>
      <c r="S26" s="54"/>
      <c r="T26" s="92"/>
      <c r="Z26" s="93"/>
      <c r="AA26" s="54"/>
      <c r="AB26" s="54"/>
      <c r="AC26" s="130" t="str">
        <f>'Données à saisir'!A85</f>
        <v>Entretien matériel et vêtements</v>
      </c>
      <c r="AD26" s="2"/>
      <c r="AE26" s="2"/>
      <c r="AF26" s="2"/>
      <c r="AG26" s="131">
        <f>IF(ISBLANK('Données à saisir'!B85),0,'Données à saisir'!B85)</f>
        <v>0</v>
      </c>
      <c r="AH26" s="131">
        <f>IF(ISBLANK('Données à saisir'!C85),0,'Données à saisir'!C85)</f>
        <v>0</v>
      </c>
      <c r="AI26" s="132">
        <f>IF(ISBLANK('Données à saisir'!D85),0,'Données à saisir'!D85)</f>
        <v>0</v>
      </c>
      <c r="AJ26" s="54"/>
      <c r="AK26" s="54"/>
      <c r="AL26" s="173" t="s">
        <v>239</v>
      </c>
      <c r="AM26" s="174"/>
      <c r="AN26" s="174"/>
      <c r="AO26" s="184">
        <f>AO23+AO25</f>
        <v>42024</v>
      </c>
      <c r="AP26" s="186">
        <f t="shared" si="9"/>
        <v>0.482369146</v>
      </c>
      <c r="AQ26" s="184">
        <f>AQ23+AQ25</f>
        <v>76999.2</v>
      </c>
      <c r="AR26" s="187">
        <f t="shared" si="10"/>
        <v>0.6798686162</v>
      </c>
      <c r="AS26" s="184">
        <f>AS23+AS25</f>
        <v>116638.8</v>
      </c>
      <c r="AT26" s="188">
        <f t="shared" si="11"/>
        <v>0.6865790775</v>
      </c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173" t="s">
        <v>240</v>
      </c>
      <c r="BG26" s="174"/>
      <c r="BH26" s="174"/>
      <c r="BI26" s="174"/>
      <c r="BJ26" s="184">
        <f>BJ25</f>
        <v>52304</v>
      </c>
      <c r="BK26" s="184">
        <f>BJ26+BK25</f>
        <v>131583.2</v>
      </c>
      <c r="BL26" s="185">
        <f>+BK26+BL25</f>
        <v>250502</v>
      </c>
      <c r="BM26" s="54"/>
      <c r="BN26" s="54"/>
      <c r="BO26" s="139" t="s">
        <v>241</v>
      </c>
      <c r="BP26" s="2"/>
      <c r="BQ26" s="2"/>
      <c r="BR26" s="140">
        <f>IF(ISERROR('Données à saisir'!$J$73/12),0,'Données à saisir'!$J$73/12)</f>
        <v>0</v>
      </c>
      <c r="BS26" s="140">
        <f>IF(ISERROR('Données à saisir'!$J$73/12),0,'Données à saisir'!$J$73/12)</f>
        <v>0</v>
      </c>
      <c r="BT26" s="140">
        <f>IF(ISERROR('Données à saisir'!$J$73/12),0,'Données à saisir'!$J$73/12)</f>
        <v>0</v>
      </c>
      <c r="BU26" s="140">
        <f>IF(ISERROR('Données à saisir'!$J$73/12),0,'Données à saisir'!$J$73/12)</f>
        <v>0</v>
      </c>
      <c r="BV26" s="141">
        <f>IF(ISERROR('Données à saisir'!$J$73/12),0,'Données à saisir'!$J$73/12)</f>
        <v>0</v>
      </c>
      <c r="BW26" s="54"/>
      <c r="BX26" s="54"/>
      <c r="BY26" s="190">
        <f>IF(ISERROR('Données à saisir'!$J$73/12),0,'Données à saisir'!$J$73/12)</f>
        <v>0</v>
      </c>
      <c r="BZ26" s="140">
        <f>IF(ISERROR('Données à saisir'!$J$73/12),0,'Données à saisir'!$J$73/12)</f>
        <v>0</v>
      </c>
      <c r="CA26" s="140">
        <f>IF(ISERROR('Données à saisir'!$J$73/12),0,'Données à saisir'!$J$73/12)</f>
        <v>0</v>
      </c>
      <c r="CB26" s="140">
        <f>IF(ISERROR('Données à saisir'!$J$73/12),0,'Données à saisir'!$J$73/12)</f>
        <v>0</v>
      </c>
      <c r="CC26" s="140">
        <f>IF(ISERROR('Données à saisir'!$J$73/12),0,'Données à saisir'!$J$73/12)</f>
        <v>0</v>
      </c>
      <c r="CD26" s="140">
        <f>IF(ISERROR('Données à saisir'!$J$73/12),0,'Données à saisir'!$J$73/12)</f>
        <v>0</v>
      </c>
      <c r="CE26" s="191">
        <f>IF(ISERROR('Données à saisir'!$J$73/12),0,'Données à saisir'!$J$73/12)</f>
        <v>0</v>
      </c>
      <c r="CF26" s="192">
        <f t="shared" si="13"/>
        <v>0</v>
      </c>
    </row>
    <row r="27" ht="15.0" customHeight="1">
      <c r="A27" s="54"/>
      <c r="B27" s="88"/>
      <c r="C27" s="218"/>
      <c r="D27" s="218"/>
      <c r="E27" s="218"/>
      <c r="F27" s="218"/>
      <c r="G27" s="218"/>
      <c r="H27" s="91"/>
      <c r="I27" s="54"/>
      <c r="J27" s="54"/>
      <c r="K27" s="130" t="str">
        <f>'Données à saisir'!A30</f>
        <v>Matériel</v>
      </c>
      <c r="L27" s="2"/>
      <c r="M27" s="2"/>
      <c r="N27" s="2"/>
      <c r="O27" s="2"/>
      <c r="P27" s="2"/>
      <c r="Q27" s="142">
        <f>IF(ISBLANK('Données à saisir'!B30),"",'Données à saisir'!B30)</f>
        <v>7200</v>
      </c>
      <c r="R27" s="54"/>
      <c r="S27" s="54"/>
      <c r="T27" s="96"/>
      <c r="U27" s="97"/>
      <c r="V27" s="97"/>
      <c r="W27" s="97"/>
      <c r="X27" s="97"/>
      <c r="Y27" s="97"/>
      <c r="Z27" s="98"/>
      <c r="AA27" s="54"/>
      <c r="AB27" s="54"/>
      <c r="AC27" s="130" t="str">
        <f>'Données à saisir'!A86</f>
        <v>Nettoyage des locaux</v>
      </c>
      <c r="AD27" s="2"/>
      <c r="AE27" s="2"/>
      <c r="AF27" s="2"/>
      <c r="AG27" s="131">
        <f>IF(ISBLANK('Données à saisir'!B86),0,'Données à saisir'!B86)</f>
        <v>0</v>
      </c>
      <c r="AH27" s="131">
        <f>IF(ISBLANK('Données à saisir'!C86),0,'Données à saisir'!C86)</f>
        <v>0</v>
      </c>
      <c r="AI27" s="132">
        <f>IF(ISBLANK('Données à saisir'!D86),0,'Données à saisir'!D86)</f>
        <v>0</v>
      </c>
      <c r="AJ27" s="54"/>
      <c r="AK27" s="54"/>
      <c r="AL27" s="173" t="s">
        <v>242</v>
      </c>
      <c r="AM27" s="174"/>
      <c r="AN27" s="174"/>
      <c r="AO27" s="184">
        <f>IF(ISERROR(AO26-AG45),AO26,(AO26-AG45))</f>
        <v>42024</v>
      </c>
      <c r="AP27" s="186">
        <f t="shared" si="9"/>
        <v>0.482369146</v>
      </c>
      <c r="AQ27" s="184">
        <f>IF(ISERROR(AQ26-AH45),AQ26,(AQ26-AH45))</f>
        <v>76999.2</v>
      </c>
      <c r="AR27" s="187">
        <f t="shared" si="10"/>
        <v>0.6798686162</v>
      </c>
      <c r="AS27" s="184">
        <f>IF(ISERROR(AS26-AI45),AS26,(AS26-AI45))</f>
        <v>116638.8</v>
      </c>
      <c r="AT27" s="188">
        <f t="shared" si="11"/>
        <v>0.6865790775</v>
      </c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81"/>
      <c r="BG27" s="81"/>
      <c r="BH27" s="81"/>
      <c r="BI27" s="81"/>
      <c r="BJ27" s="81"/>
      <c r="BK27" s="81"/>
      <c r="BL27" s="81"/>
      <c r="BM27" s="54"/>
      <c r="BN27" s="54"/>
      <c r="BO27" s="139" t="s">
        <v>243</v>
      </c>
      <c r="BP27" s="2"/>
      <c r="BQ27" s="2"/>
      <c r="BR27" s="140">
        <f>BR19*'Données à saisir'!$D$123</f>
        <v>2178</v>
      </c>
      <c r="BS27" s="140">
        <f>BS19*'Données à saisir'!$D$123</f>
        <v>2178</v>
      </c>
      <c r="BT27" s="140">
        <f>BT19*'Données à saisir'!$D$123</f>
        <v>2178</v>
      </c>
      <c r="BU27" s="140">
        <f>BU19*'Données à saisir'!$D$123</f>
        <v>2178</v>
      </c>
      <c r="BV27" s="141">
        <f>BV19*'Données à saisir'!$D$123</f>
        <v>2178</v>
      </c>
      <c r="BW27" s="54"/>
      <c r="BX27" s="54"/>
      <c r="BY27" s="190">
        <f>BY19*'Données à saisir'!$D$123</f>
        <v>2178</v>
      </c>
      <c r="BZ27" s="140">
        <f>BZ19*'Données à saisir'!$D$123</f>
        <v>2178</v>
      </c>
      <c r="CA27" s="140">
        <f>CA19*'Données à saisir'!$D$123</f>
        <v>2178</v>
      </c>
      <c r="CB27" s="140">
        <f>CB19*'Données à saisir'!$D$123</f>
        <v>2178</v>
      </c>
      <c r="CC27" s="140">
        <f>CC19*'Données à saisir'!$D$123</f>
        <v>2178</v>
      </c>
      <c r="CD27" s="140">
        <f>CD19*'Données à saisir'!$D$123</f>
        <v>2178</v>
      </c>
      <c r="CE27" s="191">
        <f>CE19*'Données à saisir'!$D$123</f>
        <v>2178</v>
      </c>
      <c r="CF27" s="192">
        <f t="shared" si="13"/>
        <v>26136</v>
      </c>
    </row>
    <row r="28" ht="15.0" customHeight="1">
      <c r="A28" s="54"/>
      <c r="B28" s="88"/>
      <c r="C28" s="219" t="str">
        <f>IF(ISBLANK('Données à saisir'!B7),"",('Données à saisir'!B7))</f>
        <v>Televerx</v>
      </c>
      <c r="H28" s="91"/>
      <c r="I28" s="54"/>
      <c r="J28" s="54"/>
      <c r="K28" s="130" t="str">
        <f>'Données à saisir'!A31</f>
        <v>Matériel de bureau</v>
      </c>
      <c r="L28" s="2"/>
      <c r="M28" s="2"/>
      <c r="N28" s="2"/>
      <c r="O28" s="2"/>
      <c r="P28" s="2"/>
      <c r="Q28" s="142" t="str">
        <f>IF(ISBLANK('Données à saisir'!B31),"",'Données à saisir'!B31)</f>
        <v/>
      </c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130" t="str">
        <f>'Données à saisir'!A87</f>
        <v>Budget publicité et communication</v>
      </c>
      <c r="AD28" s="2"/>
      <c r="AE28" s="2"/>
      <c r="AF28" s="2"/>
      <c r="AG28" s="131">
        <f>IF(ISBLANK('Données à saisir'!B87),0,'Données à saisir'!B87)</f>
        <v>4200</v>
      </c>
      <c r="AH28" s="131">
        <f>IF(ISBLANK('Données à saisir'!C87),0,'Données à saisir'!C87)</f>
        <v>0</v>
      </c>
      <c r="AI28" s="132">
        <f>IF(ISBLANK('Données à saisir'!D87),0,'Données à saisir'!D87)</f>
        <v>0</v>
      </c>
      <c r="AJ28" s="54"/>
      <c r="AK28" s="54"/>
      <c r="AL28" s="134" t="s">
        <v>244</v>
      </c>
      <c r="AM28" s="1"/>
      <c r="AN28" s="1"/>
      <c r="AO28" s="140">
        <f>AO27+AO22</f>
        <v>44304</v>
      </c>
      <c r="AP28" s="161">
        <f t="shared" si="9"/>
        <v>0.5085399449</v>
      </c>
      <c r="AQ28" s="140">
        <f>AQ27+AQ22</f>
        <v>79279.2</v>
      </c>
      <c r="AR28" s="162">
        <f t="shared" si="10"/>
        <v>0.7</v>
      </c>
      <c r="AS28" s="140">
        <f>AS27+AS22</f>
        <v>118918.8</v>
      </c>
      <c r="AT28" s="220">
        <f t="shared" si="11"/>
        <v>0.7</v>
      </c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221" t="s">
        <v>245</v>
      </c>
      <c r="BG28" s="81"/>
      <c r="BH28" s="81"/>
      <c r="BI28" s="222">
        <f>Q31</f>
        <v>8000</v>
      </c>
      <c r="BK28" s="81"/>
      <c r="BL28" s="81"/>
      <c r="BM28" s="54"/>
      <c r="BN28" s="54"/>
      <c r="BO28" s="139" t="s">
        <v>210</v>
      </c>
      <c r="BP28" s="2"/>
      <c r="BQ28" s="2"/>
      <c r="BR28" s="140">
        <f t="shared" ref="BR28:BV28" si="26">$AG$17/12</f>
        <v>840</v>
      </c>
      <c r="BS28" s="140">
        <f t="shared" si="26"/>
        <v>840</v>
      </c>
      <c r="BT28" s="140">
        <f t="shared" si="26"/>
        <v>840</v>
      </c>
      <c r="BU28" s="140">
        <f t="shared" si="26"/>
        <v>840</v>
      </c>
      <c r="BV28" s="141">
        <f t="shared" si="26"/>
        <v>840</v>
      </c>
      <c r="BW28" s="54"/>
      <c r="BX28" s="54"/>
      <c r="BY28" s="190">
        <f t="shared" ref="BY28:CE28" si="27">$AG$17/12</f>
        <v>840</v>
      </c>
      <c r="BZ28" s="140">
        <f t="shared" si="27"/>
        <v>840</v>
      </c>
      <c r="CA28" s="140">
        <f t="shared" si="27"/>
        <v>840</v>
      </c>
      <c r="CB28" s="140">
        <f t="shared" si="27"/>
        <v>840</v>
      </c>
      <c r="CC28" s="140">
        <f t="shared" si="27"/>
        <v>840</v>
      </c>
      <c r="CD28" s="140">
        <f t="shared" si="27"/>
        <v>840</v>
      </c>
      <c r="CE28" s="191">
        <f t="shared" si="27"/>
        <v>840</v>
      </c>
      <c r="CF28" s="192">
        <f t="shared" si="13"/>
        <v>10080</v>
      </c>
    </row>
    <row r="29" ht="15.0" customHeight="1">
      <c r="A29" s="54"/>
      <c r="B29" s="88"/>
      <c r="H29" s="91"/>
      <c r="I29" s="54"/>
      <c r="J29" s="54"/>
      <c r="K29" s="223"/>
      <c r="L29" s="2"/>
      <c r="M29" s="2"/>
      <c r="N29" s="2"/>
      <c r="O29" s="2"/>
      <c r="P29" s="2"/>
      <c r="Q29" s="142"/>
      <c r="R29" s="54"/>
      <c r="S29" s="54"/>
      <c r="T29" s="54"/>
      <c r="U29" s="54"/>
      <c r="V29" s="54"/>
      <c r="W29" s="54"/>
      <c r="X29" s="143" t="s">
        <v>62</v>
      </c>
      <c r="Y29" s="144" t="s">
        <v>63</v>
      </c>
      <c r="Z29" s="145" t="s">
        <v>64</v>
      </c>
      <c r="AA29" s="54"/>
      <c r="AB29" s="54"/>
      <c r="AC29" s="130" t="str">
        <f>'Données à saisir'!A88</f>
        <v>Loyer et charges locatives</v>
      </c>
      <c r="AD29" s="1"/>
      <c r="AE29" s="1"/>
      <c r="AF29" s="1"/>
      <c r="AG29" s="131">
        <f>IF(ISBLANK('Données à saisir'!B88),0,'Données à saisir'!B88)</f>
        <v>3360</v>
      </c>
      <c r="AH29" s="131">
        <f>IF(ISBLANK('Données à saisir'!C88),0,'Données à saisir'!C88)</f>
        <v>0</v>
      </c>
      <c r="AI29" s="132">
        <f>IF(ISBLANK('Données à saisir'!D88),0,'Données à saisir'!D88)</f>
        <v>0</v>
      </c>
      <c r="AJ29" s="54"/>
      <c r="AK29" s="54"/>
      <c r="AL29" s="128"/>
      <c r="AM29" s="128"/>
      <c r="AN29" s="128"/>
      <c r="AO29" s="128"/>
      <c r="AP29" s="128"/>
      <c r="AQ29" s="128"/>
      <c r="AR29" s="128"/>
      <c r="AS29" s="128"/>
      <c r="AT29" s="81"/>
      <c r="AU29" s="54"/>
      <c r="AV29" s="54"/>
      <c r="AW29" s="85" t="s">
        <v>246</v>
      </c>
      <c r="AX29" s="86"/>
      <c r="AY29" s="86"/>
      <c r="AZ29" s="86"/>
      <c r="BA29" s="86"/>
      <c r="BB29" s="86"/>
      <c r="BC29" s="87"/>
      <c r="BD29" s="54"/>
      <c r="BE29" s="54"/>
      <c r="BF29" s="224"/>
      <c r="BG29" s="224"/>
      <c r="BH29" s="81"/>
      <c r="BI29" s="225"/>
      <c r="BJ29" s="112"/>
      <c r="BK29" s="112"/>
      <c r="BL29" s="112"/>
      <c r="BM29" s="54"/>
      <c r="BN29" s="54"/>
      <c r="BO29" s="139" t="str">
        <f t="shared" ref="BO29:BO33" si="30">AC36</f>
        <v>Impôts et taxes</v>
      </c>
      <c r="BP29" s="2"/>
      <c r="BQ29" s="2"/>
      <c r="BR29" s="140">
        <f t="shared" ref="BR29:BV29" si="28">$AG36/12</f>
        <v>0</v>
      </c>
      <c r="BS29" s="140">
        <f t="shared" si="28"/>
        <v>0</v>
      </c>
      <c r="BT29" s="140">
        <f t="shared" si="28"/>
        <v>0</v>
      </c>
      <c r="BU29" s="140">
        <f t="shared" si="28"/>
        <v>0</v>
      </c>
      <c r="BV29" s="141">
        <f t="shared" si="28"/>
        <v>0</v>
      </c>
      <c r="BW29" s="54"/>
      <c r="BX29" s="54"/>
      <c r="BY29" s="190">
        <f t="shared" ref="BY29:CE29" si="29">$AG36/12</f>
        <v>0</v>
      </c>
      <c r="BZ29" s="140">
        <f t="shared" si="29"/>
        <v>0</v>
      </c>
      <c r="CA29" s="140">
        <f t="shared" si="29"/>
        <v>0</v>
      </c>
      <c r="CB29" s="140">
        <f t="shared" si="29"/>
        <v>0</v>
      </c>
      <c r="CC29" s="140">
        <f t="shared" si="29"/>
        <v>0</v>
      </c>
      <c r="CD29" s="140">
        <f t="shared" si="29"/>
        <v>0</v>
      </c>
      <c r="CE29" s="191">
        <f t="shared" si="29"/>
        <v>0</v>
      </c>
      <c r="CF29" s="192">
        <f t="shared" si="13"/>
        <v>0</v>
      </c>
    </row>
    <row r="30" ht="15.0" customHeight="1">
      <c r="A30" s="54"/>
      <c r="B30" s="88"/>
      <c r="H30" s="91"/>
      <c r="I30" s="54"/>
      <c r="J30" s="54"/>
      <c r="K30" s="134" t="str">
        <f>'Données à saisir'!A32</f>
        <v>Stock de matières et produits</v>
      </c>
      <c r="L30" s="1"/>
      <c r="M30" s="1"/>
      <c r="N30" s="1"/>
      <c r="O30" s="1"/>
      <c r="P30" s="1"/>
      <c r="Q30" s="135" t="str">
        <f>IF(ISBLANK('Données à saisir'!B32),"",'Données à saisir'!B32)</f>
        <v/>
      </c>
      <c r="R30" s="54"/>
      <c r="S30" s="54"/>
      <c r="T30" s="216"/>
      <c r="U30" s="99"/>
      <c r="V30" s="99"/>
      <c r="W30" s="99"/>
      <c r="X30" s="158"/>
      <c r="Y30" s="159"/>
      <c r="Z30" s="160"/>
      <c r="AA30" s="54"/>
      <c r="AB30" s="54"/>
      <c r="AC30" s="130" t="str">
        <f>'Données à saisir'!A89</f>
        <v>Expert comptable, avocats</v>
      </c>
      <c r="AD30" s="1"/>
      <c r="AE30" s="1"/>
      <c r="AF30" s="1"/>
      <c r="AG30" s="131">
        <f>IF(ISBLANK('Données à saisir'!B89),0,'Données à saisir'!B89)</f>
        <v>0</v>
      </c>
      <c r="AH30" s="131">
        <f>IF(ISBLANK('Données à saisir'!C89),0,'Données à saisir'!C89)</f>
        <v>0</v>
      </c>
      <c r="AI30" s="132">
        <f>IF(ISBLANK('Données à saisir'!D89),0,'Données à saisir'!D89)</f>
        <v>0</v>
      </c>
      <c r="AJ30" s="54"/>
      <c r="AK30" s="54"/>
      <c r="AL30" s="216"/>
      <c r="AM30" s="81"/>
      <c r="AN30" s="81"/>
      <c r="AO30" s="217"/>
      <c r="AP30" s="217"/>
      <c r="AQ30" s="217"/>
      <c r="AR30" s="217"/>
      <c r="AS30" s="217"/>
      <c r="AT30" s="217"/>
      <c r="AU30" s="54"/>
      <c r="AV30" s="54"/>
      <c r="AW30" s="92"/>
      <c r="BC30" s="93"/>
      <c r="BD30" s="54"/>
      <c r="BE30" s="54"/>
      <c r="BF30" s="99"/>
      <c r="BG30" s="81"/>
      <c r="BH30" s="81"/>
      <c r="BI30" s="81"/>
      <c r="BJ30" s="112"/>
      <c r="BK30" s="226"/>
      <c r="BL30" s="112"/>
      <c r="BM30" s="54"/>
      <c r="BN30" s="54"/>
      <c r="BO30" s="177" t="str">
        <f t="shared" si="30"/>
        <v>Salaires employés</v>
      </c>
      <c r="BP30" s="150"/>
      <c r="BQ30" s="150"/>
      <c r="BR30" s="151">
        <f t="shared" ref="BR30:BV30" si="31">$AG37/12</f>
        <v>550</v>
      </c>
      <c r="BS30" s="151">
        <f t="shared" si="31"/>
        <v>550</v>
      </c>
      <c r="BT30" s="151">
        <f t="shared" si="31"/>
        <v>550</v>
      </c>
      <c r="BU30" s="151">
        <f t="shared" si="31"/>
        <v>550</v>
      </c>
      <c r="BV30" s="196">
        <f t="shared" si="31"/>
        <v>550</v>
      </c>
      <c r="BW30" s="54"/>
      <c r="BX30" s="54"/>
      <c r="BY30" s="197">
        <f t="shared" ref="BY30:CE30" si="32">$AG37/12</f>
        <v>550</v>
      </c>
      <c r="BZ30" s="151">
        <f t="shared" si="32"/>
        <v>550</v>
      </c>
      <c r="CA30" s="151">
        <f t="shared" si="32"/>
        <v>550</v>
      </c>
      <c r="CB30" s="151">
        <f t="shared" si="32"/>
        <v>550</v>
      </c>
      <c r="CC30" s="151">
        <f t="shared" si="32"/>
        <v>550</v>
      </c>
      <c r="CD30" s="151">
        <f t="shared" si="32"/>
        <v>550</v>
      </c>
      <c r="CE30" s="198">
        <f t="shared" si="32"/>
        <v>550</v>
      </c>
      <c r="CF30" s="199">
        <f t="shared" si="13"/>
        <v>6600</v>
      </c>
    </row>
    <row r="31" ht="15.0" customHeight="1">
      <c r="A31" s="54"/>
      <c r="B31" s="88"/>
      <c r="H31" s="91"/>
      <c r="I31" s="54"/>
      <c r="J31" s="54"/>
      <c r="K31" s="134" t="str">
        <f>'Données à saisir'!A33</f>
        <v>Trésorerie de départ</v>
      </c>
      <c r="L31" s="1"/>
      <c r="M31" s="1"/>
      <c r="N31" s="1"/>
      <c r="O31" s="1"/>
      <c r="P31" s="1"/>
      <c r="Q31" s="135">
        <f>IF(ISBLANK('Données à saisir'!B33),"",'Données à saisir'!B33)</f>
        <v>8000</v>
      </c>
      <c r="R31" s="54"/>
      <c r="S31" s="54"/>
      <c r="T31" s="149" t="s">
        <v>247</v>
      </c>
      <c r="U31" s="150"/>
      <c r="V31" s="150"/>
      <c r="W31" s="150"/>
      <c r="X31" s="227">
        <f t="shared" ref="X31:Z31" si="33">SUM(X33:X39)</f>
        <v>0</v>
      </c>
      <c r="Y31" s="227">
        <f t="shared" si="33"/>
        <v>0</v>
      </c>
      <c r="Z31" s="228">
        <f t="shared" si="33"/>
        <v>0</v>
      </c>
      <c r="AA31" s="54"/>
      <c r="AB31" s="54"/>
      <c r="AC31" s="170" t="str">
        <f>IF(ISBLANK('Données à saisir'!A93),"",'Données à saisir'!A93)</f>
        <v>Libellé autre charge 1 (supprimer si inutile)</v>
      </c>
      <c r="AD31" s="2"/>
      <c r="AE31" s="2"/>
      <c r="AF31" s="2"/>
      <c r="AG31" s="131">
        <f>IF(ISBLANK('Données à saisir'!B93),0,'Données à saisir'!B93)</f>
        <v>0</v>
      </c>
      <c r="AH31" s="131">
        <f>IF(ISBLANK('Données à saisir'!C93),0,'Données à saisir'!C93)</f>
        <v>0</v>
      </c>
      <c r="AI31" s="171">
        <f>IF(ISBLANK('Données à saisir'!D93),0,'Données à saisir'!D93)</f>
        <v>0</v>
      </c>
      <c r="AJ31" s="54"/>
      <c r="AK31" s="54"/>
      <c r="AL31" s="216"/>
      <c r="AM31" s="81"/>
      <c r="AN31" s="81"/>
      <c r="AO31" s="217"/>
      <c r="AP31" s="217"/>
      <c r="AQ31" s="217"/>
      <c r="AR31" s="217"/>
      <c r="AS31" s="217"/>
      <c r="AT31" s="217"/>
      <c r="AU31" s="54"/>
      <c r="AV31" s="54"/>
      <c r="AW31" s="96"/>
      <c r="AX31" s="97"/>
      <c r="AY31" s="97"/>
      <c r="AZ31" s="97"/>
      <c r="BA31" s="97"/>
      <c r="BB31" s="97"/>
      <c r="BC31" s="98"/>
      <c r="BD31" s="54"/>
      <c r="BE31" s="54"/>
      <c r="BF31" s="229"/>
      <c r="BG31" s="81"/>
      <c r="BH31" s="81"/>
      <c r="BI31" s="230"/>
      <c r="BJ31" s="231"/>
      <c r="BK31" s="231"/>
      <c r="BL31" s="231"/>
      <c r="BM31" s="54"/>
      <c r="BN31" s="54"/>
      <c r="BO31" s="139" t="str">
        <f t="shared" si="30"/>
        <v>Charges sociales employés</v>
      </c>
      <c r="BP31" s="2"/>
      <c r="BQ31" s="2"/>
      <c r="BR31" s="140">
        <f t="shared" ref="BR31:BV31" si="34">$AG38/12</f>
        <v>0</v>
      </c>
      <c r="BS31" s="140">
        <f t="shared" si="34"/>
        <v>0</v>
      </c>
      <c r="BT31" s="140">
        <f t="shared" si="34"/>
        <v>0</v>
      </c>
      <c r="BU31" s="140">
        <f t="shared" si="34"/>
        <v>0</v>
      </c>
      <c r="BV31" s="141">
        <f t="shared" si="34"/>
        <v>0</v>
      </c>
      <c r="BW31" s="54"/>
      <c r="BX31" s="54"/>
      <c r="BY31" s="190">
        <f t="shared" ref="BY31:CE31" si="35">$AG38/12</f>
        <v>0</v>
      </c>
      <c r="BZ31" s="140">
        <f t="shared" si="35"/>
        <v>0</v>
      </c>
      <c r="CA31" s="140">
        <f t="shared" si="35"/>
        <v>0</v>
      </c>
      <c r="CB31" s="140">
        <f t="shared" si="35"/>
        <v>0</v>
      </c>
      <c r="CC31" s="140">
        <f t="shared" si="35"/>
        <v>0</v>
      </c>
      <c r="CD31" s="140">
        <f t="shared" si="35"/>
        <v>0</v>
      </c>
      <c r="CE31" s="191">
        <f t="shared" si="35"/>
        <v>0</v>
      </c>
      <c r="CF31" s="192">
        <f t="shared" si="13"/>
        <v>0</v>
      </c>
    </row>
    <row r="32" ht="15.0" customHeight="1">
      <c r="A32" s="54"/>
      <c r="B32" s="88"/>
      <c r="H32" s="91"/>
      <c r="I32" s="54"/>
      <c r="J32" s="54"/>
      <c r="K32" s="223"/>
      <c r="L32" s="2"/>
      <c r="M32" s="2"/>
      <c r="N32" s="2"/>
      <c r="O32" s="99" t="s">
        <v>248</v>
      </c>
      <c r="P32" s="2"/>
      <c r="Q32" s="232">
        <f>+SUM(Q12,Q23,Q30:Q31)</f>
        <v>20650</v>
      </c>
      <c r="R32" s="54"/>
      <c r="S32" s="54"/>
      <c r="T32" s="233"/>
      <c r="U32" s="2"/>
      <c r="V32" s="2"/>
      <c r="W32" s="2"/>
      <c r="X32" s="234"/>
      <c r="Y32" s="234"/>
      <c r="Z32" s="235"/>
      <c r="AA32" s="54"/>
      <c r="AB32" s="54"/>
      <c r="AC32" s="170" t="str">
        <f>IF(ISBLANK('Données à saisir'!A94),"",'Données à saisir'!A94)</f>
        <v>Libellé autre charge 2 (supprimer si inutile)</v>
      </c>
      <c r="AD32" s="236"/>
      <c r="AE32" s="236"/>
      <c r="AF32" s="236"/>
      <c r="AG32" s="131">
        <f>IF(ISBLANK('Données à saisir'!B94),0,'Données à saisir'!B94)</f>
        <v>0</v>
      </c>
      <c r="AH32" s="131">
        <f>IF(ISBLANK('Données à saisir'!C94),0,'Données à saisir'!C94)</f>
        <v>0</v>
      </c>
      <c r="AI32" s="171">
        <f>IF(ISBLANK('Données à saisir'!D94),0,'Données à saisir'!D94)</f>
        <v>0</v>
      </c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99"/>
      <c r="BG32" s="81"/>
      <c r="BH32" s="81"/>
      <c r="BI32" s="81"/>
      <c r="BJ32" s="237"/>
      <c r="BK32" s="237"/>
      <c r="BL32" s="237"/>
      <c r="BM32" s="54"/>
      <c r="BN32" s="54"/>
      <c r="BO32" s="139" t="str">
        <f t="shared" si="30"/>
        <v>Prélèvement dirigeant(s)</v>
      </c>
      <c r="BP32" s="2"/>
      <c r="BQ32" s="2"/>
      <c r="BR32" s="140">
        <f t="shared" ref="BR32:BV32" si="36">$AG39/12</f>
        <v>0</v>
      </c>
      <c r="BS32" s="140">
        <f t="shared" si="36"/>
        <v>0</v>
      </c>
      <c r="BT32" s="140">
        <f t="shared" si="36"/>
        <v>0</v>
      </c>
      <c r="BU32" s="140">
        <f t="shared" si="36"/>
        <v>0</v>
      </c>
      <c r="BV32" s="141">
        <f t="shared" si="36"/>
        <v>0</v>
      </c>
      <c r="BW32" s="54"/>
      <c r="BX32" s="54"/>
      <c r="BY32" s="190">
        <f t="shared" ref="BY32:CE32" si="37">$AG39/12</f>
        <v>0</v>
      </c>
      <c r="BZ32" s="140">
        <f t="shared" si="37"/>
        <v>0</v>
      </c>
      <c r="CA32" s="140">
        <f t="shared" si="37"/>
        <v>0</v>
      </c>
      <c r="CB32" s="140">
        <f t="shared" si="37"/>
        <v>0</v>
      </c>
      <c r="CC32" s="140">
        <f t="shared" si="37"/>
        <v>0</v>
      </c>
      <c r="CD32" s="140">
        <f t="shared" si="37"/>
        <v>0</v>
      </c>
      <c r="CE32" s="191">
        <f t="shared" si="37"/>
        <v>0</v>
      </c>
      <c r="CF32" s="192">
        <f t="shared" si="13"/>
        <v>0</v>
      </c>
    </row>
    <row r="33" ht="15.0" customHeight="1">
      <c r="A33" s="54"/>
      <c r="B33" s="88"/>
      <c r="C33" s="238" t="str">
        <f>IF(ISBLANK('Données à saisir'!B8),"",('Données à saisir'!B8))</f>
        <v/>
      </c>
      <c r="H33" s="91"/>
      <c r="I33" s="54"/>
      <c r="J33" s="54"/>
      <c r="K33" s="239"/>
      <c r="L33" s="81"/>
      <c r="M33" s="81"/>
      <c r="N33" s="81"/>
      <c r="O33" s="81"/>
      <c r="P33" s="81"/>
      <c r="Q33" s="240"/>
      <c r="R33" s="54"/>
      <c r="S33" s="54"/>
      <c r="T33" s="130" t="str">
        <f>K13</f>
        <v>Frais d’établissement </v>
      </c>
      <c r="U33" s="2"/>
      <c r="V33" s="2"/>
      <c r="W33" s="2"/>
      <c r="X33" s="241">
        <f>'Données à saisir'!C40</f>
        <v>0</v>
      </c>
      <c r="Y33" s="241">
        <f>'Données à saisir'!D40</f>
        <v>0</v>
      </c>
      <c r="Z33" s="242">
        <f>'Données à saisir'!E40</f>
        <v>0</v>
      </c>
      <c r="AA33" s="54"/>
      <c r="AB33" s="54"/>
      <c r="AC33" s="170" t="str">
        <f>IF(ISBLANK('Données à saisir'!A95),"",'Données à saisir'!A95)</f>
        <v>Libellé autre charge 3 (supprimer si inutile)</v>
      </c>
      <c r="AD33" s="2"/>
      <c r="AE33" s="2"/>
      <c r="AF33" s="2"/>
      <c r="AG33" s="131">
        <f>IF(ISBLANK('Données à saisir'!B95),0,'Données à saisir'!B95)</f>
        <v>0</v>
      </c>
      <c r="AH33" s="131">
        <f>IF(ISBLANK('Données à saisir'!C95),0,'Données à saisir'!C95)</f>
        <v>0</v>
      </c>
      <c r="AI33" s="171">
        <f>IF(ISBLANK('Données à saisir'!D95),0,'Données à saisir'!D95)</f>
        <v>0</v>
      </c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221" t="s">
        <v>249</v>
      </c>
      <c r="AX33" s="54"/>
      <c r="AY33" s="54"/>
      <c r="AZ33" s="54"/>
      <c r="BA33" s="54"/>
      <c r="BB33" s="54"/>
      <c r="BC33" s="54"/>
      <c r="BD33" s="54"/>
      <c r="BE33" s="54"/>
      <c r="BF33" s="229"/>
      <c r="BG33" s="81"/>
      <c r="BH33" s="81"/>
      <c r="BI33" s="230"/>
      <c r="BJ33" s="231"/>
      <c r="BK33" s="231"/>
      <c r="BL33" s="231"/>
      <c r="BM33" s="54"/>
      <c r="BN33" s="54"/>
      <c r="BO33" s="139" t="str">
        <f t="shared" si="30"/>
        <v>Charges sociales dirigeant(s)</v>
      </c>
      <c r="BP33" s="2"/>
      <c r="BQ33" s="2"/>
      <c r="BR33" s="140">
        <f t="shared" ref="BR33:BV33" si="38">$AG40/12</f>
        <v>0</v>
      </c>
      <c r="BS33" s="140">
        <f t="shared" si="38"/>
        <v>0</v>
      </c>
      <c r="BT33" s="140">
        <f t="shared" si="38"/>
        <v>0</v>
      </c>
      <c r="BU33" s="140">
        <f t="shared" si="38"/>
        <v>0</v>
      </c>
      <c r="BV33" s="141">
        <f t="shared" si="38"/>
        <v>0</v>
      </c>
      <c r="BW33" s="54"/>
      <c r="BX33" s="54"/>
      <c r="BY33" s="190">
        <f t="shared" ref="BY33:CE33" si="39">$AG40/12</f>
        <v>0</v>
      </c>
      <c r="BZ33" s="140">
        <f t="shared" si="39"/>
        <v>0</v>
      </c>
      <c r="CA33" s="140">
        <f t="shared" si="39"/>
        <v>0</v>
      </c>
      <c r="CB33" s="140">
        <f t="shared" si="39"/>
        <v>0</v>
      </c>
      <c r="CC33" s="140">
        <f t="shared" si="39"/>
        <v>0</v>
      </c>
      <c r="CD33" s="140">
        <f t="shared" si="39"/>
        <v>0</v>
      </c>
      <c r="CE33" s="191">
        <f t="shared" si="39"/>
        <v>0</v>
      </c>
      <c r="CF33" s="192">
        <f t="shared" si="13"/>
        <v>0</v>
      </c>
    </row>
    <row r="34" ht="15.0" customHeight="1">
      <c r="A34" s="54"/>
      <c r="B34" s="88"/>
      <c r="H34" s="91"/>
      <c r="I34" s="54"/>
      <c r="J34" s="54"/>
      <c r="K34" s="109" t="s">
        <v>250</v>
      </c>
      <c r="L34" s="110"/>
      <c r="M34" s="110"/>
      <c r="N34" s="110"/>
      <c r="O34" s="110"/>
      <c r="P34" s="243"/>
      <c r="Q34" s="111" t="s">
        <v>181</v>
      </c>
      <c r="R34" s="54"/>
      <c r="S34" s="54"/>
      <c r="T34" s="130" t="str">
        <f>K15</f>
        <v>Logiciels, formations</v>
      </c>
      <c r="U34" s="2"/>
      <c r="V34" s="2"/>
      <c r="W34" s="2"/>
      <c r="X34" s="241">
        <f>'Données à saisir'!C42</f>
        <v>0</v>
      </c>
      <c r="Y34" s="241">
        <f>'Données à saisir'!D42</f>
        <v>0</v>
      </c>
      <c r="Z34" s="242">
        <f>'Données à saisir'!E42</f>
        <v>0</v>
      </c>
      <c r="AA34" s="54"/>
      <c r="AB34" s="54"/>
      <c r="AC34" s="170"/>
      <c r="AD34" s="2"/>
      <c r="AE34" s="2"/>
      <c r="AF34" s="2"/>
      <c r="AG34" s="131"/>
      <c r="AH34" s="131"/>
      <c r="AI34" s="171"/>
      <c r="AJ34" s="54"/>
      <c r="AK34" s="54"/>
      <c r="AL34" s="85" t="s">
        <v>244</v>
      </c>
      <c r="AM34" s="86"/>
      <c r="AN34" s="86"/>
      <c r="AO34" s="86"/>
      <c r="AP34" s="86"/>
      <c r="AQ34" s="86"/>
      <c r="AR34" s="86"/>
      <c r="AS34" s="86"/>
      <c r="AT34" s="87"/>
      <c r="AU34" s="54"/>
      <c r="AV34" s="54"/>
      <c r="AW34" s="224"/>
      <c r="AX34" s="224"/>
      <c r="AY34" s="54"/>
      <c r="AZ34" s="225" t="s">
        <v>251</v>
      </c>
      <c r="BA34" s="116" t="s">
        <v>62</v>
      </c>
      <c r="BB34" s="107" t="s">
        <v>63</v>
      </c>
      <c r="BC34" s="117" t="s">
        <v>64</v>
      </c>
      <c r="BD34" s="54"/>
      <c r="BE34" s="54"/>
      <c r="BF34" s="112"/>
      <c r="BG34" s="218"/>
      <c r="BH34" s="81"/>
      <c r="BI34" s="218"/>
      <c r="BJ34" s="244"/>
      <c r="BK34" s="244"/>
      <c r="BL34" s="244"/>
      <c r="BM34" s="54"/>
      <c r="BN34" s="54"/>
      <c r="BO34" s="173" t="s">
        <v>252</v>
      </c>
      <c r="BP34" s="174"/>
      <c r="BQ34" s="174"/>
      <c r="BR34" s="184">
        <f t="shared" ref="BR34:BV34" si="40">SUM(BR30:BR33)</f>
        <v>550</v>
      </c>
      <c r="BS34" s="184">
        <f t="shared" si="40"/>
        <v>550</v>
      </c>
      <c r="BT34" s="184">
        <f t="shared" si="40"/>
        <v>550</v>
      </c>
      <c r="BU34" s="184">
        <f t="shared" si="40"/>
        <v>550</v>
      </c>
      <c r="BV34" s="185">
        <f t="shared" si="40"/>
        <v>550</v>
      </c>
      <c r="BW34" s="54"/>
      <c r="BX34" s="54"/>
      <c r="BY34" s="207">
        <f t="shared" ref="BY34:CE34" si="41">SUM(BY30:BY33)</f>
        <v>550</v>
      </c>
      <c r="BZ34" s="184">
        <f t="shared" si="41"/>
        <v>550</v>
      </c>
      <c r="CA34" s="184">
        <f t="shared" si="41"/>
        <v>550</v>
      </c>
      <c r="CB34" s="184">
        <f t="shared" si="41"/>
        <v>550</v>
      </c>
      <c r="CC34" s="184">
        <f t="shared" si="41"/>
        <v>550</v>
      </c>
      <c r="CD34" s="184">
        <f t="shared" si="41"/>
        <v>550</v>
      </c>
      <c r="CE34" s="208">
        <f t="shared" si="41"/>
        <v>550</v>
      </c>
      <c r="CF34" s="209">
        <f t="shared" si="13"/>
        <v>6600</v>
      </c>
    </row>
    <row r="35" ht="15.0" customHeight="1">
      <c r="A35" s="54"/>
      <c r="B35" s="88"/>
      <c r="H35" s="91"/>
      <c r="I35" s="54"/>
      <c r="J35" s="54"/>
      <c r="K35" s="118"/>
      <c r="L35" s="119"/>
      <c r="M35" s="119"/>
      <c r="N35" s="119"/>
      <c r="O35" s="119"/>
      <c r="P35" s="245"/>
      <c r="Q35" s="120"/>
      <c r="R35" s="54"/>
      <c r="S35" s="54"/>
      <c r="T35" s="130" t="str">
        <f>K17</f>
        <v>Droits d’entrée</v>
      </c>
      <c r="U35" s="2"/>
      <c r="V35" s="2"/>
      <c r="W35" s="2"/>
      <c r="X35" s="241">
        <f>'Données à saisir'!C44</f>
        <v>0</v>
      </c>
      <c r="Y35" s="241">
        <f>'Données à saisir'!D44</f>
        <v>0</v>
      </c>
      <c r="Z35" s="242">
        <f>'Données à saisir'!E44</f>
        <v>0</v>
      </c>
      <c r="AA35" s="54"/>
      <c r="AB35" s="54"/>
      <c r="AC35" s="173" t="s">
        <v>214</v>
      </c>
      <c r="AD35" s="174"/>
      <c r="AE35" s="174"/>
      <c r="AF35" s="174"/>
      <c r="AG35" s="184">
        <f t="shared" ref="AG35:AI35" si="42">AG16-AG17</f>
        <v>50904</v>
      </c>
      <c r="AH35" s="184">
        <f t="shared" si="42"/>
        <v>79279.2</v>
      </c>
      <c r="AI35" s="185">
        <f t="shared" si="42"/>
        <v>118918.8</v>
      </c>
      <c r="AJ35" s="54"/>
      <c r="AK35" s="54"/>
      <c r="AL35" s="92"/>
      <c r="AT35" s="93"/>
      <c r="AU35" s="54"/>
      <c r="AV35" s="54"/>
      <c r="AW35" s="173" t="s">
        <v>253</v>
      </c>
      <c r="AX35" s="174"/>
      <c r="AY35" s="174"/>
      <c r="AZ35" s="174"/>
      <c r="BA35" s="125"/>
      <c r="BB35" s="114"/>
      <c r="BC35" s="126"/>
      <c r="BD35" s="54"/>
      <c r="BE35" s="54"/>
      <c r="BF35" s="81"/>
      <c r="BG35" s="81"/>
      <c r="BH35" s="81"/>
      <c r="BI35" s="81"/>
      <c r="BJ35" s="81"/>
      <c r="BK35" s="81"/>
      <c r="BL35" s="81"/>
      <c r="BM35" s="54"/>
      <c r="BN35" s="54"/>
      <c r="BO35" s="139" t="str">
        <f>AC42</f>
        <v>Frais bancaires, charges financières</v>
      </c>
      <c r="BP35" s="1"/>
      <c r="BQ35" s="1"/>
      <c r="BR35" s="140">
        <f t="shared" ref="BR35:BV35" si="43">$AG42/12</f>
        <v>0</v>
      </c>
      <c r="BS35" s="140">
        <f t="shared" si="43"/>
        <v>0</v>
      </c>
      <c r="BT35" s="140">
        <f t="shared" si="43"/>
        <v>0</v>
      </c>
      <c r="BU35" s="140">
        <f t="shared" si="43"/>
        <v>0</v>
      </c>
      <c r="BV35" s="141">
        <f t="shared" si="43"/>
        <v>0</v>
      </c>
      <c r="BW35" s="54"/>
      <c r="BX35" s="54"/>
      <c r="BY35" s="190">
        <f t="shared" ref="BY35:CE35" si="44">$AG42/12</f>
        <v>0</v>
      </c>
      <c r="BZ35" s="140">
        <f t="shared" si="44"/>
        <v>0</v>
      </c>
      <c r="CA35" s="140">
        <f t="shared" si="44"/>
        <v>0</v>
      </c>
      <c r="CB35" s="140">
        <f t="shared" si="44"/>
        <v>0</v>
      </c>
      <c r="CC35" s="140">
        <f t="shared" si="44"/>
        <v>0</v>
      </c>
      <c r="CD35" s="140">
        <f t="shared" si="44"/>
        <v>0</v>
      </c>
      <c r="CE35" s="191">
        <f t="shared" si="44"/>
        <v>0</v>
      </c>
      <c r="CF35" s="192">
        <f t="shared" si="13"/>
        <v>0</v>
      </c>
    </row>
    <row r="36" ht="15.0" customHeight="1">
      <c r="A36" s="54"/>
      <c r="B36" s="88"/>
      <c r="C36" s="81"/>
      <c r="D36" s="81"/>
      <c r="E36" s="81"/>
      <c r="F36" s="81"/>
      <c r="G36" s="81"/>
      <c r="H36" s="91"/>
      <c r="I36" s="54"/>
      <c r="J36" s="54"/>
      <c r="K36" s="127"/>
      <c r="L36" s="128"/>
      <c r="M36" s="128"/>
      <c r="N36" s="128"/>
      <c r="O36" s="128"/>
      <c r="P36" s="128"/>
      <c r="Q36" s="129"/>
      <c r="R36" s="54"/>
      <c r="S36" s="54"/>
      <c r="T36" s="130" t="str">
        <f t="shared" ref="T36:T37" si="48">K21</f>
        <v>Frais de dossier</v>
      </c>
      <c r="U36" s="2"/>
      <c r="V36" s="2"/>
      <c r="W36" s="2"/>
      <c r="X36" s="241">
        <f>'Données à saisir'!C48</f>
        <v>0</v>
      </c>
      <c r="Y36" s="241">
        <f>'Données à saisir'!D48</f>
        <v>0</v>
      </c>
      <c r="Z36" s="242">
        <f>'Données à saisir'!E48</f>
        <v>0</v>
      </c>
      <c r="AA36" s="54"/>
      <c r="AB36" s="54"/>
      <c r="AC36" s="134" t="s">
        <v>219</v>
      </c>
      <c r="AD36" s="2"/>
      <c r="AE36" s="2"/>
      <c r="AF36" s="2"/>
      <c r="AG36" s="147">
        <f>IF(ISBLANK('Données à saisir'!B91),0,'Données à saisir'!B91)</f>
        <v>0</v>
      </c>
      <c r="AH36" s="147">
        <f>IF(ISBLANK('Données à saisir'!C91),0,'Données à saisir'!C91)</f>
        <v>0</v>
      </c>
      <c r="AI36" s="148">
        <f>IF(ISBLANK('Données à saisir'!D91),0,'Données à saisir'!D91)</f>
        <v>0</v>
      </c>
      <c r="AJ36" s="54"/>
      <c r="AK36" s="54"/>
      <c r="AL36" s="96"/>
      <c r="AM36" s="97"/>
      <c r="AN36" s="97"/>
      <c r="AO36" s="97"/>
      <c r="AP36" s="97"/>
      <c r="AQ36" s="97"/>
      <c r="AR36" s="97"/>
      <c r="AS36" s="97"/>
      <c r="AT36" s="98"/>
      <c r="AU36" s="54"/>
      <c r="AV36" s="54"/>
      <c r="AW36" s="139" t="s">
        <v>254</v>
      </c>
      <c r="AX36" s="2"/>
      <c r="AY36" s="2"/>
      <c r="AZ36" s="225">
        <f>'Données à saisir'!D127</f>
        <v>0</v>
      </c>
      <c r="BA36" s="246">
        <f t="shared" ref="BA36:BC36" si="45">BA11/365*$AZ36</f>
        <v>0</v>
      </c>
      <c r="BB36" s="247">
        <f t="shared" si="45"/>
        <v>0</v>
      </c>
      <c r="BC36" s="248">
        <f t="shared" si="45"/>
        <v>0</v>
      </c>
      <c r="BD36" s="54"/>
      <c r="BE36" s="54"/>
      <c r="BF36" s="81"/>
      <c r="BG36" s="81"/>
      <c r="BH36" s="81"/>
      <c r="BI36" s="81"/>
      <c r="BJ36" s="81"/>
      <c r="BK36" s="81"/>
      <c r="BL36" s="81"/>
      <c r="BM36" s="54"/>
      <c r="BN36" s="54"/>
      <c r="BO36" s="173" t="s">
        <v>255</v>
      </c>
      <c r="BP36" s="174"/>
      <c r="BQ36" s="174"/>
      <c r="BR36" s="184">
        <f t="shared" ref="BR36:BV36" si="46">SUM(BR24:BR29,BR34:BR35)</f>
        <v>16218</v>
      </c>
      <c r="BS36" s="184">
        <f t="shared" si="46"/>
        <v>3568</v>
      </c>
      <c r="BT36" s="184">
        <f t="shared" si="46"/>
        <v>3568</v>
      </c>
      <c r="BU36" s="184">
        <f t="shared" si="46"/>
        <v>3568</v>
      </c>
      <c r="BV36" s="185">
        <f t="shared" si="46"/>
        <v>3568</v>
      </c>
      <c r="BW36" s="54"/>
      <c r="BX36" s="54"/>
      <c r="BY36" s="207">
        <f t="shared" ref="BY36:CE36" si="47">SUM(BY24:BY29,BY34:BY35)</f>
        <v>3568</v>
      </c>
      <c r="BZ36" s="184">
        <f t="shared" si="47"/>
        <v>3568</v>
      </c>
      <c r="CA36" s="184">
        <f t="shared" si="47"/>
        <v>3568</v>
      </c>
      <c r="CB36" s="184">
        <f t="shared" si="47"/>
        <v>3568</v>
      </c>
      <c r="CC36" s="184">
        <f t="shared" si="47"/>
        <v>3568</v>
      </c>
      <c r="CD36" s="184">
        <f t="shared" si="47"/>
        <v>3568</v>
      </c>
      <c r="CE36" s="208">
        <f t="shared" si="47"/>
        <v>3568</v>
      </c>
      <c r="CF36" s="209">
        <f t="shared" si="13"/>
        <v>55466</v>
      </c>
    </row>
    <row r="37" ht="15.0" customHeight="1">
      <c r="A37" s="54"/>
      <c r="B37" s="102"/>
      <c r="C37" s="103"/>
      <c r="D37" s="103"/>
      <c r="E37" s="103"/>
      <c r="F37" s="103"/>
      <c r="G37" s="103"/>
      <c r="H37" s="249"/>
      <c r="I37" s="54"/>
      <c r="J37" s="54"/>
      <c r="K37" s="134" t="s">
        <v>256</v>
      </c>
      <c r="L37" s="2"/>
      <c r="M37" s="2"/>
      <c r="N37" s="2"/>
      <c r="O37" s="2"/>
      <c r="P37" s="2"/>
      <c r="Q37" s="135">
        <f>SUM(Q38:Q39)</f>
        <v>20650</v>
      </c>
      <c r="R37" s="54"/>
      <c r="S37" s="54"/>
      <c r="T37" s="130" t="str">
        <f t="shared" si="48"/>
        <v>Frais de notaire ou d’avocat</v>
      </c>
      <c r="U37" s="2"/>
      <c r="V37" s="2"/>
      <c r="W37" s="2"/>
      <c r="X37" s="241">
        <f>'Données à saisir'!C49</f>
        <v>0</v>
      </c>
      <c r="Y37" s="241">
        <f>'Données à saisir'!D49</f>
        <v>0</v>
      </c>
      <c r="Z37" s="242">
        <f>'Données à saisir'!E49</f>
        <v>0</v>
      </c>
      <c r="AA37" s="54"/>
      <c r="AB37" s="54"/>
      <c r="AC37" s="134" t="s">
        <v>257</v>
      </c>
      <c r="AD37" s="2"/>
      <c r="AE37" s="2"/>
      <c r="AF37" s="2"/>
      <c r="AG37" s="147">
        <f>'Données à saisir'!B133</f>
        <v>6600</v>
      </c>
      <c r="AH37" s="147" t="str">
        <f>'Données à saisir'!C133</f>
        <v/>
      </c>
      <c r="AI37" s="148" t="str">
        <f>'Données à saisir'!D133</f>
        <v/>
      </c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173" t="s">
        <v>258</v>
      </c>
      <c r="AX37" s="174"/>
      <c r="AY37" s="174"/>
      <c r="AZ37" s="174"/>
      <c r="BA37" s="250"/>
      <c r="BB37" s="251"/>
      <c r="BC37" s="252"/>
      <c r="BD37" s="54"/>
      <c r="BE37" s="54"/>
      <c r="BF37" s="253"/>
      <c r="BG37" s="253"/>
      <c r="BH37" s="253"/>
      <c r="BI37" s="253"/>
      <c r="BJ37" s="253"/>
      <c r="BK37" s="253"/>
      <c r="BL37" s="253"/>
      <c r="BM37" s="54"/>
      <c r="BN37" s="54"/>
      <c r="BO37" s="173" t="s">
        <v>259</v>
      </c>
      <c r="BP37" s="174"/>
      <c r="BQ37" s="174"/>
      <c r="BR37" s="184">
        <f t="shared" ref="BR37:BV37" si="49">SUM(BR15:BR20)</f>
        <v>27910</v>
      </c>
      <c r="BS37" s="184">
        <f t="shared" si="49"/>
        <v>7260</v>
      </c>
      <c r="BT37" s="184">
        <f t="shared" si="49"/>
        <v>7260</v>
      </c>
      <c r="BU37" s="184">
        <f t="shared" si="49"/>
        <v>7260</v>
      </c>
      <c r="BV37" s="185">
        <f t="shared" si="49"/>
        <v>7260</v>
      </c>
      <c r="BW37" s="54"/>
      <c r="BX37" s="54"/>
      <c r="BY37" s="207">
        <f t="shared" ref="BY37:CE37" si="50">SUM(BY15:BY20)</f>
        <v>7260</v>
      </c>
      <c r="BZ37" s="184">
        <f t="shared" si="50"/>
        <v>7260</v>
      </c>
      <c r="CA37" s="184">
        <f t="shared" si="50"/>
        <v>7260</v>
      </c>
      <c r="CB37" s="184">
        <f t="shared" si="50"/>
        <v>7260</v>
      </c>
      <c r="CC37" s="184">
        <f t="shared" si="50"/>
        <v>7260</v>
      </c>
      <c r="CD37" s="184">
        <f t="shared" si="50"/>
        <v>7260</v>
      </c>
      <c r="CE37" s="208">
        <f t="shared" si="50"/>
        <v>7260</v>
      </c>
      <c r="CF37" s="209">
        <f t="shared" si="13"/>
        <v>107770</v>
      </c>
    </row>
    <row r="38" ht="15.0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130" t="str">
        <f>'Données à saisir'!A59</f>
        <v>Apport personnel ou familial</v>
      </c>
      <c r="L38" s="2"/>
      <c r="M38" s="2"/>
      <c r="N38" s="2"/>
      <c r="O38" s="2"/>
      <c r="P38" s="2"/>
      <c r="Q38" s="142">
        <f>IF(ISBLANK('Données à saisir'!B59),0,'Données à saisir'!B59)</f>
        <v>18050</v>
      </c>
      <c r="R38" s="54"/>
      <c r="S38" s="54"/>
      <c r="T38" s="130"/>
      <c r="U38" s="2"/>
      <c r="V38" s="2"/>
      <c r="W38" s="2"/>
      <c r="X38" s="241"/>
      <c r="Y38" s="241"/>
      <c r="Z38" s="242"/>
      <c r="AA38" s="54"/>
      <c r="AB38" s="54"/>
      <c r="AC38" s="139" t="s">
        <v>260</v>
      </c>
      <c r="AD38" s="2"/>
      <c r="AE38" s="2"/>
      <c r="AF38" s="2"/>
      <c r="AG38" s="140" t="str">
        <f>'Données à saisir'!B134</f>
        <v/>
      </c>
      <c r="AH38" s="140" t="str">
        <f>'Données à saisir'!C134</f>
        <v/>
      </c>
      <c r="AI38" s="141" t="str">
        <f>'Données à saisir'!D134</f>
        <v/>
      </c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254" t="s">
        <v>261</v>
      </c>
      <c r="AX38" s="255"/>
      <c r="AY38" s="255"/>
      <c r="AZ38" s="256">
        <f>'Données à saisir'!D128</f>
        <v>0</v>
      </c>
      <c r="BA38" s="246">
        <f t="shared" ref="BA38:BC38" si="51">BA12/365*$AZ38</f>
        <v>0</v>
      </c>
      <c r="BB38" s="247">
        <f t="shared" si="51"/>
        <v>0</v>
      </c>
      <c r="BC38" s="248">
        <f t="shared" si="51"/>
        <v>0</v>
      </c>
      <c r="BD38" s="54"/>
      <c r="BE38" s="54"/>
      <c r="BF38" s="253"/>
      <c r="BG38" s="253"/>
      <c r="BH38" s="253"/>
      <c r="BI38" s="253"/>
      <c r="BJ38" s="253"/>
      <c r="BK38" s="253"/>
      <c r="BL38" s="253"/>
      <c r="BM38" s="54"/>
      <c r="BN38" s="54"/>
      <c r="BO38" s="139" t="s">
        <v>262</v>
      </c>
      <c r="BP38" s="2"/>
      <c r="BQ38" s="2"/>
      <c r="BR38" s="131">
        <v>0.0</v>
      </c>
      <c r="BS38" s="140">
        <f t="shared" ref="BS38:BV38" si="52">BR40</f>
        <v>11692</v>
      </c>
      <c r="BT38" s="140">
        <f t="shared" si="52"/>
        <v>15384</v>
      </c>
      <c r="BU38" s="140">
        <f t="shared" si="52"/>
        <v>19076</v>
      </c>
      <c r="BV38" s="189">
        <f t="shared" si="52"/>
        <v>22768</v>
      </c>
      <c r="BW38" s="54"/>
      <c r="BX38" s="54"/>
      <c r="BY38" s="190">
        <f>BV40</f>
        <v>26460</v>
      </c>
      <c r="BZ38" s="140">
        <f t="shared" ref="BZ38:CE38" si="53">BY40</f>
        <v>30152</v>
      </c>
      <c r="CA38" s="140">
        <f t="shared" si="53"/>
        <v>33844</v>
      </c>
      <c r="CB38" s="140">
        <f t="shared" si="53"/>
        <v>37536</v>
      </c>
      <c r="CC38" s="140">
        <f t="shared" si="53"/>
        <v>41228</v>
      </c>
      <c r="CD38" s="140">
        <f t="shared" si="53"/>
        <v>44920</v>
      </c>
      <c r="CE38" s="191">
        <f t="shared" si="53"/>
        <v>48612</v>
      </c>
      <c r="CF38" s="192"/>
    </row>
    <row r="39" ht="15.0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130" t="str">
        <f>'Données à saisir'!A60</f>
        <v>Apports en nature (en valeur)</v>
      </c>
      <c r="L39" s="2"/>
      <c r="M39" s="2"/>
      <c r="N39" s="2"/>
      <c r="O39" s="2"/>
      <c r="P39" s="2"/>
      <c r="Q39" s="142">
        <f>IF(ISBLANK('Données à saisir'!B60),0,'Données à saisir'!B60)</f>
        <v>2600</v>
      </c>
      <c r="R39" s="54"/>
      <c r="S39" s="54"/>
      <c r="T39" s="130"/>
      <c r="U39" s="2"/>
      <c r="V39" s="2"/>
      <c r="W39" s="2"/>
      <c r="X39" s="241"/>
      <c r="Y39" s="241"/>
      <c r="Z39" s="242"/>
      <c r="AA39" s="54"/>
      <c r="AB39" s="54"/>
      <c r="AC39" s="134" t="s">
        <v>263</v>
      </c>
      <c r="AD39" s="2"/>
      <c r="AE39" s="2"/>
      <c r="AF39" s="2"/>
      <c r="AG39" s="147" t="str">
        <f>'Données à saisir'!B136</f>
        <v/>
      </c>
      <c r="AH39" s="147" t="str">
        <f>'Données à saisir'!C136</f>
        <v/>
      </c>
      <c r="AI39" s="148" t="str">
        <f>'Données à saisir'!D136</f>
        <v/>
      </c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257" t="s">
        <v>264</v>
      </c>
      <c r="AX39" s="258"/>
      <c r="AY39" s="174"/>
      <c r="AZ39" s="259"/>
      <c r="BA39" s="260">
        <f t="shared" ref="BA39:BC39" si="54">BA36-BA38</f>
        <v>0</v>
      </c>
      <c r="BB39" s="261">
        <f t="shared" si="54"/>
        <v>0</v>
      </c>
      <c r="BC39" s="262">
        <f t="shared" si="54"/>
        <v>0</v>
      </c>
      <c r="BD39" s="54"/>
      <c r="BE39" s="54"/>
      <c r="BF39" s="253"/>
      <c r="BG39" s="253"/>
      <c r="BH39" s="253"/>
      <c r="BI39" s="253"/>
      <c r="BJ39" s="253"/>
      <c r="BK39" s="253"/>
      <c r="BL39" s="253"/>
      <c r="BM39" s="54"/>
      <c r="BN39" s="54"/>
      <c r="BO39" s="172" t="s">
        <v>265</v>
      </c>
      <c r="BP39" s="236"/>
      <c r="BQ39" s="236"/>
      <c r="BR39" s="147">
        <f t="shared" ref="BR39:BV39" si="55">BR37-BR36</f>
        <v>11692</v>
      </c>
      <c r="BS39" s="147">
        <f t="shared" si="55"/>
        <v>3692</v>
      </c>
      <c r="BT39" s="147">
        <f t="shared" si="55"/>
        <v>3692</v>
      </c>
      <c r="BU39" s="147">
        <f t="shared" si="55"/>
        <v>3692</v>
      </c>
      <c r="BV39" s="193">
        <f t="shared" si="55"/>
        <v>3692</v>
      </c>
      <c r="BW39" s="99"/>
      <c r="BX39" s="99"/>
      <c r="BY39" s="263">
        <f t="shared" ref="BY39:CE39" si="56">BY37-BY36</f>
        <v>3692</v>
      </c>
      <c r="BZ39" s="147">
        <f t="shared" si="56"/>
        <v>3692</v>
      </c>
      <c r="CA39" s="147">
        <f t="shared" si="56"/>
        <v>3692</v>
      </c>
      <c r="CB39" s="147">
        <f t="shared" si="56"/>
        <v>3692</v>
      </c>
      <c r="CC39" s="147">
        <f t="shared" si="56"/>
        <v>3692</v>
      </c>
      <c r="CD39" s="147">
        <f t="shared" si="56"/>
        <v>3692</v>
      </c>
      <c r="CE39" s="214">
        <f t="shared" si="56"/>
        <v>3692</v>
      </c>
      <c r="CF39" s="264"/>
    </row>
    <row r="40" ht="15.0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134" t="s">
        <v>266</v>
      </c>
      <c r="L40" s="2"/>
      <c r="M40" s="2"/>
      <c r="N40" s="265" t="s">
        <v>267</v>
      </c>
      <c r="O40" s="265" t="s">
        <v>268</v>
      </c>
      <c r="P40" s="2"/>
      <c r="Q40" s="135">
        <f>SUM(Q41:Q43)</f>
        <v>0</v>
      </c>
      <c r="R40" s="54"/>
      <c r="S40" s="54"/>
      <c r="T40" s="149" t="s">
        <v>269</v>
      </c>
      <c r="U40" s="150"/>
      <c r="V40" s="150"/>
      <c r="W40" s="150"/>
      <c r="X40" s="227">
        <f t="shared" ref="X40:Z40" si="57">SUM(X42:X46)</f>
        <v>2280</v>
      </c>
      <c r="Y40" s="227">
        <f t="shared" si="57"/>
        <v>2280</v>
      </c>
      <c r="Z40" s="266">
        <f t="shared" si="57"/>
        <v>2280</v>
      </c>
      <c r="AA40" s="54"/>
      <c r="AB40" s="54"/>
      <c r="AC40" s="139" t="s">
        <v>270</v>
      </c>
      <c r="AD40" s="2"/>
      <c r="AE40" s="2"/>
      <c r="AF40" s="24"/>
      <c r="AG40" s="140" t="str">
        <f>'Données à saisir'!B137</f>
        <v/>
      </c>
      <c r="AH40" s="140" t="str">
        <f>'Données à saisir'!C137</f>
        <v/>
      </c>
      <c r="AI40" s="141" t="str">
        <f>'Données à saisir'!D137</f>
        <v/>
      </c>
      <c r="AJ40" s="54"/>
      <c r="AK40" s="54"/>
      <c r="AL40" s="54"/>
      <c r="AM40" s="54"/>
      <c r="AN40" s="54"/>
      <c r="AO40" s="106" t="s">
        <v>62</v>
      </c>
      <c r="AP40" s="267"/>
      <c r="AQ40" s="155" t="s">
        <v>63</v>
      </c>
      <c r="AR40" s="268"/>
      <c r="AS40" s="155" t="s">
        <v>64</v>
      </c>
      <c r="AT40" s="145"/>
      <c r="AU40" s="54"/>
      <c r="AV40" s="54"/>
      <c r="AW40" s="81"/>
      <c r="AX40" s="81"/>
      <c r="AY40" s="81"/>
      <c r="AZ40" s="81"/>
      <c r="BA40" s="81"/>
      <c r="BB40" s="81"/>
      <c r="BC40" s="81"/>
      <c r="BD40" s="54"/>
      <c r="BE40" s="54"/>
      <c r="BF40" s="81"/>
      <c r="BG40" s="81"/>
      <c r="BH40" s="81"/>
      <c r="BI40" s="81"/>
      <c r="BJ40" s="81"/>
      <c r="BK40" s="81"/>
      <c r="BL40" s="81"/>
      <c r="BM40" s="54"/>
      <c r="BN40" s="54"/>
      <c r="BO40" s="173" t="s">
        <v>271</v>
      </c>
      <c r="BP40" s="174"/>
      <c r="BQ40" s="174"/>
      <c r="BR40" s="184">
        <f>BR39</f>
        <v>11692</v>
      </c>
      <c r="BS40" s="184">
        <f t="shared" ref="BS40:BV40" si="58">BS38+BS39</f>
        <v>15384</v>
      </c>
      <c r="BT40" s="184">
        <f t="shared" si="58"/>
        <v>19076</v>
      </c>
      <c r="BU40" s="184">
        <f t="shared" si="58"/>
        <v>22768</v>
      </c>
      <c r="BV40" s="185">
        <f t="shared" si="58"/>
        <v>26460</v>
      </c>
      <c r="BW40" s="54"/>
      <c r="BX40" s="54"/>
      <c r="BY40" s="207">
        <f t="shared" ref="BY40:CE40" si="59">BY38+BY39</f>
        <v>30152</v>
      </c>
      <c r="BZ40" s="184">
        <f t="shared" si="59"/>
        <v>33844</v>
      </c>
      <c r="CA40" s="184">
        <f t="shared" si="59"/>
        <v>37536</v>
      </c>
      <c r="CB40" s="184">
        <f t="shared" si="59"/>
        <v>41228</v>
      </c>
      <c r="CC40" s="184">
        <f t="shared" si="59"/>
        <v>44920</v>
      </c>
      <c r="CD40" s="184">
        <f t="shared" si="59"/>
        <v>48612</v>
      </c>
      <c r="CE40" s="208">
        <f t="shared" si="59"/>
        <v>52304</v>
      </c>
      <c r="CF40" s="209"/>
    </row>
    <row r="41" ht="15.0" customHeight="1">
      <c r="A41" s="54"/>
      <c r="B41" s="82"/>
      <c r="C41" s="83"/>
      <c r="D41" s="83"/>
      <c r="E41" s="83"/>
      <c r="F41" s="83"/>
      <c r="G41" s="83"/>
      <c r="H41" s="84"/>
      <c r="I41" s="54"/>
      <c r="J41" s="54"/>
      <c r="K41" s="130" t="str">
        <f>IF(ISBLANK('Données à saisir'!A61),"",'Données à saisir'!A61)</f>
        <v>Prêt n°1 (nom de la banque)</v>
      </c>
      <c r="L41" s="2"/>
      <c r="M41" s="2"/>
      <c r="N41" s="269" t="str">
        <f>IF(ISBLANK('Données à saisir'!C61),"",'Données à saisir'!C61)</f>
        <v/>
      </c>
      <c r="O41" s="24" t="str">
        <f>IF(ISBLANK('Données à saisir'!D61),"",'Données à saisir'!D61)</f>
        <v/>
      </c>
      <c r="P41" s="2"/>
      <c r="Q41" s="142">
        <f>IF(ISBLANK('Données à saisir'!B61),0,'Données à saisir'!B61)</f>
        <v>0</v>
      </c>
      <c r="R41" s="54"/>
      <c r="S41" s="54"/>
      <c r="T41" s="233"/>
      <c r="U41" s="2"/>
      <c r="V41" s="2"/>
      <c r="W41" s="2"/>
      <c r="X41" s="234"/>
      <c r="Y41" s="234"/>
      <c r="Z41" s="235"/>
      <c r="AA41" s="54"/>
      <c r="AB41" s="54"/>
      <c r="AC41" s="173" t="s">
        <v>226</v>
      </c>
      <c r="AD41" s="174"/>
      <c r="AE41" s="174"/>
      <c r="AF41" s="174"/>
      <c r="AG41" s="184">
        <f t="shared" ref="AG41:AI41" si="60">AG35-SUM(AG36:AG40)</f>
        <v>44304</v>
      </c>
      <c r="AH41" s="184">
        <f t="shared" si="60"/>
        <v>79279.2</v>
      </c>
      <c r="AI41" s="185">
        <f t="shared" si="60"/>
        <v>118918.8</v>
      </c>
      <c r="AJ41" s="54"/>
      <c r="AK41" s="54"/>
      <c r="AL41" s="112"/>
      <c r="AM41" s="54"/>
      <c r="AN41" s="54"/>
      <c r="AO41" s="113"/>
      <c r="AP41" s="270"/>
      <c r="AQ41" s="167"/>
      <c r="AR41" s="271"/>
      <c r="AS41" s="167"/>
      <c r="AT41" s="272"/>
      <c r="AU41" s="54"/>
      <c r="AV41" s="54"/>
      <c r="AW41" s="81"/>
      <c r="AX41" s="81"/>
      <c r="AY41" s="81"/>
      <c r="AZ41" s="81"/>
      <c r="BA41" s="81"/>
      <c r="BB41" s="81"/>
      <c r="BC41" s="81"/>
      <c r="BD41" s="54"/>
      <c r="BE41" s="54"/>
      <c r="BF41" s="81"/>
      <c r="BG41" s="81"/>
      <c r="BH41" s="81"/>
      <c r="BI41" s="81"/>
      <c r="BJ41" s="81"/>
      <c r="BK41" s="81"/>
      <c r="BL41" s="81"/>
      <c r="BM41" s="54"/>
      <c r="BN41" s="54"/>
      <c r="BO41" s="139"/>
      <c r="BP41" s="2"/>
      <c r="BQ41" s="2"/>
      <c r="BR41" s="273" t="str">
        <f t="shared" ref="BR41:CE41" si="61">IF(BR40&lt;0,BR40,"")</f>
        <v/>
      </c>
      <c r="BS41" s="273" t="str">
        <f t="shared" si="61"/>
        <v/>
      </c>
      <c r="BT41" s="273" t="str">
        <f t="shared" si="61"/>
        <v/>
      </c>
      <c r="BU41" s="273" t="str">
        <f t="shared" si="61"/>
        <v/>
      </c>
      <c r="BV41" s="274" t="str">
        <f t="shared" si="61"/>
        <v/>
      </c>
      <c r="BW41" s="275" t="str">
        <f t="shared" si="61"/>
        <v/>
      </c>
      <c r="BX41" s="275" t="str">
        <f t="shared" si="61"/>
        <v/>
      </c>
      <c r="BY41" s="276" t="str">
        <f t="shared" si="61"/>
        <v/>
      </c>
      <c r="BZ41" s="273" t="str">
        <f t="shared" si="61"/>
        <v/>
      </c>
      <c r="CA41" s="273" t="str">
        <f t="shared" si="61"/>
        <v/>
      </c>
      <c r="CB41" s="273" t="str">
        <f t="shared" si="61"/>
        <v/>
      </c>
      <c r="CC41" s="273" t="str">
        <f t="shared" si="61"/>
        <v/>
      </c>
      <c r="CD41" s="273" t="str">
        <f t="shared" si="61"/>
        <v/>
      </c>
      <c r="CE41" s="277" t="str">
        <f t="shared" si="61"/>
        <v/>
      </c>
      <c r="CF41" s="278">
        <f>SUM(BR41:CE41)</f>
        <v>0</v>
      </c>
    </row>
    <row r="42" ht="15.0" customHeight="1">
      <c r="A42" s="54"/>
      <c r="B42" s="88"/>
      <c r="C42" s="279" t="str">
        <f>IF(ISBLANK('Données à saisir'!B9),"",('Données à saisir'!B9))</f>
        <v>+243896120025</v>
      </c>
      <c r="H42" s="91"/>
      <c r="I42" s="54"/>
      <c r="J42" s="54"/>
      <c r="K42" s="130" t="str">
        <f>IF(ISBLANK('Données à saisir'!A62),"",'Données à saisir'!A62)</f>
        <v>Prêt n°2 (nom de la banque)</v>
      </c>
      <c r="L42" s="2"/>
      <c r="M42" s="2"/>
      <c r="N42" s="269" t="str">
        <f>IF(ISBLANK('Données à saisir'!C62),"",'Données à saisir'!C62)</f>
        <v/>
      </c>
      <c r="O42" s="24" t="str">
        <f>IF(ISBLANK('Données à saisir'!D62),"",'Données à saisir'!D62)</f>
        <v/>
      </c>
      <c r="P42" s="2"/>
      <c r="Q42" s="142">
        <f>IF(ISBLANK('Données à saisir'!B62),0,'Données à saisir'!B62)</f>
        <v>0</v>
      </c>
      <c r="R42" s="54"/>
      <c r="S42" s="54"/>
      <c r="T42" s="130" t="str">
        <f t="shared" ref="T42:T46" si="62">K24</f>
        <v>Enseigne et éléments de communication</v>
      </c>
      <c r="U42" s="2"/>
      <c r="V42" s="2"/>
      <c r="W42" s="2"/>
      <c r="X42" s="241">
        <f>'Données à saisir'!C50</f>
        <v>840</v>
      </c>
      <c r="Y42" s="241">
        <f>'Données à saisir'!D50</f>
        <v>840</v>
      </c>
      <c r="Z42" s="242">
        <f>'Données à saisir'!E50</f>
        <v>840</v>
      </c>
      <c r="AA42" s="54"/>
      <c r="AB42" s="54"/>
      <c r="AC42" s="134" t="s">
        <v>272</v>
      </c>
      <c r="AD42" s="1"/>
      <c r="AE42" s="1"/>
      <c r="AF42" s="1"/>
      <c r="AG42" s="147">
        <f>IF(ISERROR('Données à saisir'!B90+SUM('Données à saisir'!G70:G72)),0,'Données à saisir'!B90+SUM('Données à saisir'!G70:G72))</f>
        <v>0</v>
      </c>
      <c r="AH42" s="147">
        <f>'Données à saisir'!C90+SUM('Données à saisir'!H70:H72)</f>
        <v>0</v>
      </c>
      <c r="AI42" s="148">
        <f>'Données à saisir'!D90+SUM('Données à saisir'!I70:I72)</f>
        <v>0</v>
      </c>
      <c r="AJ42" s="54"/>
      <c r="AK42" s="54"/>
      <c r="AL42" s="173" t="s">
        <v>242</v>
      </c>
      <c r="AM42" s="174"/>
      <c r="AN42" s="174"/>
      <c r="AO42" s="208">
        <f>AO27</f>
        <v>42024</v>
      </c>
      <c r="AP42" s="280"/>
      <c r="AQ42" s="208">
        <f>AQ27</f>
        <v>76999.2</v>
      </c>
      <c r="AR42" s="280"/>
      <c r="AS42" s="281">
        <f>AS27</f>
        <v>116638.8</v>
      </c>
      <c r="AT42" s="185"/>
      <c r="AU42" s="54"/>
      <c r="AV42" s="54"/>
      <c r="AW42" s="224"/>
      <c r="AX42" s="224"/>
      <c r="AY42" s="81"/>
      <c r="AZ42" s="225"/>
      <c r="BA42" s="237"/>
      <c r="BB42" s="237"/>
      <c r="BC42" s="237"/>
      <c r="BD42" s="54"/>
      <c r="BE42" s="54"/>
      <c r="BF42" s="224"/>
      <c r="BG42" s="224"/>
      <c r="BH42" s="81"/>
      <c r="BI42" s="225"/>
      <c r="BJ42" s="112"/>
      <c r="BK42" s="112"/>
      <c r="BL42" s="112"/>
      <c r="BM42" s="54"/>
      <c r="BN42" s="54"/>
      <c r="BO42" s="282"/>
      <c r="BP42" s="204"/>
      <c r="BQ42" s="204"/>
      <c r="BR42" s="211"/>
      <c r="BS42" s="211"/>
      <c r="BT42" s="211"/>
      <c r="BU42" s="211"/>
      <c r="BV42" s="283"/>
      <c r="BW42" s="54"/>
      <c r="BX42" s="54"/>
      <c r="BY42" s="284"/>
      <c r="BZ42" s="211"/>
      <c r="CA42" s="211"/>
      <c r="CB42" s="211"/>
      <c r="CC42" s="211"/>
      <c r="CD42" s="211"/>
      <c r="CE42" s="285"/>
      <c r="CF42" s="286"/>
    </row>
    <row r="43" ht="15.0" customHeight="1">
      <c r="A43" s="54"/>
      <c r="B43" s="88"/>
      <c r="C43" s="287" t="str">
        <f>IF(ISBLANK('Données à saisir'!B10),"",('Données à saisir'!B10))</f>
        <v>contact@caftret.com</v>
      </c>
      <c r="H43" s="91"/>
      <c r="I43" s="54"/>
      <c r="J43" s="54"/>
      <c r="K43" s="130" t="str">
        <f>IF(ISBLANK('Données à saisir'!A63),"",'Données à saisir'!A63)</f>
        <v>Prêt n°3 (nom de la banque)</v>
      </c>
      <c r="L43" s="2"/>
      <c r="M43" s="2"/>
      <c r="N43" s="269" t="str">
        <f>IF(ISBLANK('Données à saisir'!C63),"",'Données à saisir'!C63)</f>
        <v/>
      </c>
      <c r="O43" s="24" t="str">
        <f>IF(ISBLANK('Données à saisir'!D63),"",'Données à saisir'!D63)</f>
        <v/>
      </c>
      <c r="P43" s="2"/>
      <c r="Q43" s="142">
        <f>IF(ISBLANK('Données à saisir'!B63),0,'Données à saisir'!B63)</f>
        <v>0</v>
      </c>
      <c r="R43" s="54"/>
      <c r="S43" s="54"/>
      <c r="T43" s="130" t="str">
        <f t="shared" si="62"/>
        <v>Achat immobilier</v>
      </c>
      <c r="U43" s="2"/>
      <c r="V43" s="2"/>
      <c r="W43" s="2"/>
      <c r="X43" s="241">
        <f>'Données à saisir'!C51</f>
        <v>0</v>
      </c>
      <c r="Y43" s="241">
        <f>'Données à saisir'!D51</f>
        <v>0</v>
      </c>
      <c r="Z43" s="242">
        <f>'Données à saisir'!E51</f>
        <v>0</v>
      </c>
      <c r="AA43" s="54"/>
      <c r="AB43" s="54"/>
      <c r="AC43" s="134" t="s">
        <v>273</v>
      </c>
      <c r="AD43" s="1"/>
      <c r="AE43" s="1"/>
      <c r="AF43" s="1"/>
      <c r="AG43" s="147">
        <f>'Données à saisir'!C39</f>
        <v>2280</v>
      </c>
      <c r="AH43" s="147">
        <f>'Données à saisir'!D39</f>
        <v>2280</v>
      </c>
      <c r="AI43" s="148">
        <f>'Données à saisir'!E39</f>
        <v>2280</v>
      </c>
      <c r="AJ43" s="54"/>
      <c r="AK43" s="54"/>
      <c r="AL43" s="223" t="s">
        <v>274</v>
      </c>
      <c r="AM43" s="1"/>
      <c r="AN43" s="1"/>
      <c r="AO43" s="191">
        <f>AO22</f>
        <v>2280</v>
      </c>
      <c r="AP43" s="288"/>
      <c r="AQ43" s="191">
        <f>AQ22</f>
        <v>2280</v>
      </c>
      <c r="AR43" s="288"/>
      <c r="AS43" s="289">
        <f>AS22</f>
        <v>2280</v>
      </c>
      <c r="AT43" s="141"/>
      <c r="AU43" s="54"/>
      <c r="AV43" s="54"/>
      <c r="AW43" s="99"/>
      <c r="AX43" s="81"/>
      <c r="AY43" s="81"/>
      <c r="AZ43" s="81"/>
      <c r="BD43" s="54"/>
      <c r="BE43" s="54"/>
      <c r="BF43" s="99"/>
      <c r="BG43" s="81"/>
      <c r="BH43" s="81"/>
      <c r="BI43" s="81"/>
      <c r="BJ43" s="112"/>
      <c r="BK43" s="112"/>
      <c r="BL43" s="112"/>
      <c r="BM43" s="54"/>
      <c r="BN43" s="54"/>
      <c r="BO43" s="89"/>
      <c r="BP43" s="99"/>
      <c r="BQ43" s="99"/>
      <c r="BR43" s="290"/>
      <c r="BS43" s="290"/>
      <c r="BT43" s="290"/>
      <c r="BU43" s="290"/>
      <c r="BV43" s="290"/>
      <c r="BW43" s="54"/>
      <c r="BX43" s="54"/>
      <c r="BY43" s="54"/>
      <c r="BZ43" s="54"/>
      <c r="CA43" s="54"/>
      <c r="CB43" s="54"/>
      <c r="CC43" s="54"/>
      <c r="CD43" s="54"/>
      <c r="CE43" s="213"/>
      <c r="CF43" s="54"/>
    </row>
    <row r="44" ht="15.0" customHeight="1">
      <c r="A44" s="54"/>
      <c r="B44" s="88"/>
      <c r="C44" s="287" t="str">
        <f>IF(ISBLANK('Données à saisir'!B11),"",('Données à saisir'!B11))</f>
        <v>Kinshasa</v>
      </c>
      <c r="H44" s="91"/>
      <c r="I44" s="54"/>
      <c r="J44" s="54"/>
      <c r="K44" s="134" t="str">
        <f>IF(ISBLANK('Données à saisir'!A64),"",'Données à saisir'!A64)</f>
        <v>Subvention n°1 (libellé)</v>
      </c>
      <c r="L44" s="2"/>
      <c r="M44" s="2"/>
      <c r="N44" s="2"/>
      <c r="O44" s="2"/>
      <c r="P44" s="2"/>
      <c r="Q44" s="135">
        <f>IF(ISBLANK('Données à saisir'!B64),0,'Données à saisir'!B64)</f>
        <v>0</v>
      </c>
      <c r="R44" s="54"/>
      <c r="S44" s="54"/>
      <c r="T44" s="130" t="str">
        <f t="shared" si="62"/>
        <v>Travaux et aménagements</v>
      </c>
      <c r="U44" s="2"/>
      <c r="V44" s="2"/>
      <c r="W44" s="2"/>
      <c r="X44" s="241">
        <f>'Données à saisir'!C52</f>
        <v>0</v>
      </c>
      <c r="Y44" s="241">
        <f>'Données à saisir'!D52</f>
        <v>0</v>
      </c>
      <c r="Z44" s="242">
        <f>'Données à saisir'!E52</f>
        <v>0</v>
      </c>
      <c r="AA44" s="54"/>
      <c r="AB44" s="54"/>
      <c r="AC44" s="173" t="s">
        <v>275</v>
      </c>
      <c r="AD44" s="174"/>
      <c r="AE44" s="174"/>
      <c r="AF44" s="174"/>
      <c r="AG44" s="184">
        <f t="shared" ref="AG44:AI44" si="63">AG41-AG42-AG43</f>
        <v>42024</v>
      </c>
      <c r="AH44" s="184">
        <f t="shared" si="63"/>
        <v>76999.2</v>
      </c>
      <c r="AI44" s="185">
        <f t="shared" si="63"/>
        <v>116638.8</v>
      </c>
      <c r="AJ44" s="54"/>
      <c r="AK44" s="54"/>
      <c r="AL44" s="173" t="s">
        <v>244</v>
      </c>
      <c r="AM44" s="174"/>
      <c r="AN44" s="174"/>
      <c r="AO44" s="208">
        <f>AO42+AO43</f>
        <v>44304</v>
      </c>
      <c r="AP44" s="280"/>
      <c r="AQ44" s="208">
        <f>AQ42+AQ43</f>
        <v>79279.2</v>
      </c>
      <c r="AR44" s="280"/>
      <c r="AS44" s="281">
        <f>AS42+AS43</f>
        <v>118918.8</v>
      </c>
      <c r="AT44" s="185"/>
      <c r="AU44" s="54"/>
      <c r="AV44" s="54"/>
      <c r="AW44" s="229"/>
      <c r="AX44" s="81"/>
      <c r="AY44" s="81"/>
      <c r="AZ44" s="230"/>
      <c r="BA44" s="231"/>
      <c r="BB44" s="231"/>
      <c r="BC44" s="231"/>
      <c r="BD44" s="54"/>
      <c r="BE44" s="54"/>
      <c r="BF44" s="229"/>
      <c r="BG44" s="81"/>
      <c r="BH44" s="81"/>
      <c r="BI44" s="230"/>
      <c r="BJ44" s="231"/>
      <c r="BK44" s="231"/>
      <c r="BL44" s="231"/>
      <c r="BM44" s="54"/>
      <c r="BN44" s="54"/>
      <c r="BO44" s="99"/>
      <c r="BP44" s="81"/>
      <c r="BQ44" s="81"/>
      <c r="BR44" s="290"/>
      <c r="BS44" s="290"/>
      <c r="BT44" s="290"/>
      <c r="BU44" s="290"/>
      <c r="BV44" s="290"/>
      <c r="BW44" s="54"/>
      <c r="BX44" s="54"/>
      <c r="BY44" s="54"/>
      <c r="BZ44" s="54"/>
      <c r="CA44" s="54"/>
      <c r="CB44" s="54"/>
      <c r="CC44" s="54"/>
      <c r="CD44" s="54"/>
      <c r="CE44" s="213"/>
      <c r="CF44" s="54"/>
    </row>
    <row r="45" ht="15.0" customHeight="1">
      <c r="A45" s="54"/>
      <c r="B45" s="88"/>
      <c r="C45" s="81"/>
      <c r="D45" s="81"/>
      <c r="E45" s="81"/>
      <c r="F45" s="81"/>
      <c r="G45" s="81"/>
      <c r="H45" s="91"/>
      <c r="I45" s="54"/>
      <c r="J45" s="54"/>
      <c r="K45" s="134" t="str">
        <f>IF(ISBLANK('Données à saisir'!A65),"",'Données à saisir'!A65)</f>
        <v>Subvention n°2 (libellé)</v>
      </c>
      <c r="L45" s="2"/>
      <c r="M45" s="2"/>
      <c r="N45" s="2"/>
      <c r="O45" s="2"/>
      <c r="P45" s="2"/>
      <c r="Q45" s="135">
        <f>IF(ISBLANK('Données à saisir'!B65),0,'Données à saisir'!B65)</f>
        <v>0</v>
      </c>
      <c r="R45" s="54"/>
      <c r="S45" s="54"/>
      <c r="T45" s="130" t="str">
        <f t="shared" si="62"/>
        <v>Matériel</v>
      </c>
      <c r="U45" s="2"/>
      <c r="V45" s="2"/>
      <c r="W45" s="2"/>
      <c r="X45" s="241">
        <f>'Données à saisir'!C53</f>
        <v>1440</v>
      </c>
      <c r="Y45" s="241">
        <f>'Données à saisir'!D53</f>
        <v>1440</v>
      </c>
      <c r="Z45" s="242">
        <f>'Données à saisir'!E53</f>
        <v>1440</v>
      </c>
      <c r="AA45" s="54"/>
      <c r="AB45" s="54"/>
      <c r="AC45" s="134" t="str">
        <f>IF(ISBLANK('Données à saisir'!$B$13),"",IF('Données à saisir'!$B$13&gt;0.1,"Impôt sur les sociétés",""))</f>
        <v>Impôt sur les sociétés</v>
      </c>
      <c r="AD45" s="2"/>
      <c r="AE45" s="2"/>
      <c r="AF45" s="2"/>
      <c r="AG45" s="147">
        <f>IF('Données à saisir'!$B$13&gt;0.1,'Données à saisir'!$B$13*'Plan financier SUCCESS'!AG44,"")</f>
        <v>0</v>
      </c>
      <c r="AH45" s="147">
        <f>IF('Données à saisir'!$B$13&gt;0.1,'Données à saisir'!$B$13*'Plan financier SUCCESS'!AH44,"")</f>
        <v>0</v>
      </c>
      <c r="AI45" s="148">
        <f>IF('Données à saisir'!$B$13&gt;0.1,'Données à saisir'!$B$13*'Plan financier SUCCESS'!AI44,"")</f>
        <v>0</v>
      </c>
      <c r="AJ45" s="54"/>
      <c r="AK45" s="54"/>
      <c r="AL45" s="139" t="s">
        <v>276</v>
      </c>
      <c r="AM45" s="2"/>
      <c r="AN45" s="2"/>
      <c r="AO45" s="191">
        <f>IF(ISERROR(SUM('Données à saisir'!J70:J72)),0,SUM('Données à saisir'!J70:J72))</f>
        <v>0</v>
      </c>
      <c r="AP45" s="288"/>
      <c r="AQ45" s="191">
        <f>SUM('Données à saisir'!K70:K72)</f>
        <v>0</v>
      </c>
      <c r="AR45" s="288"/>
      <c r="AS45" s="289">
        <f>SUM('Données à saisir'!L70:L72)</f>
        <v>0</v>
      </c>
      <c r="AT45" s="141"/>
      <c r="AU45" s="54"/>
      <c r="AV45" s="54"/>
      <c r="AW45" s="229"/>
      <c r="AX45" s="81"/>
      <c r="AY45" s="81"/>
      <c r="AZ45" s="230"/>
      <c r="BA45" s="231"/>
      <c r="BB45" s="231"/>
      <c r="BC45" s="231"/>
      <c r="BD45" s="54"/>
      <c r="BE45" s="54"/>
      <c r="BF45" s="229"/>
      <c r="BG45" s="81"/>
      <c r="BH45" s="81"/>
      <c r="BI45" s="230"/>
      <c r="BJ45" s="231"/>
      <c r="BK45" s="231"/>
      <c r="BL45" s="231"/>
      <c r="BM45" s="54"/>
      <c r="BN45" s="54"/>
      <c r="BO45" s="89"/>
      <c r="BP45" s="81"/>
      <c r="BQ45" s="81"/>
      <c r="BR45" s="290"/>
      <c r="BS45" s="290"/>
      <c r="BT45" s="290"/>
      <c r="BU45" s="290"/>
      <c r="BV45" s="290"/>
      <c r="BW45" s="54"/>
      <c r="BX45" s="54"/>
      <c r="BY45" s="54"/>
      <c r="BZ45" s="54"/>
      <c r="CA45" s="54"/>
      <c r="CB45" s="54"/>
      <c r="CC45" s="54"/>
      <c r="CD45" s="54"/>
      <c r="CE45" s="54"/>
      <c r="CF45" s="54"/>
    </row>
    <row r="46" ht="15.0" customHeight="1">
      <c r="A46" s="54"/>
      <c r="B46" s="88"/>
      <c r="C46" s="81"/>
      <c r="D46" s="81"/>
      <c r="E46" s="81"/>
      <c r="F46" s="81"/>
      <c r="G46" s="81"/>
      <c r="H46" s="91"/>
      <c r="I46" s="54"/>
      <c r="J46" s="54"/>
      <c r="K46" s="134" t="str">
        <f>IF(ISBLANK('Données à saisir'!A66),"",'Données à saisir'!A66)</f>
        <v>Autre financement (libellé)</v>
      </c>
      <c r="L46" s="2"/>
      <c r="M46" s="2"/>
      <c r="N46" s="2"/>
      <c r="O46" s="2"/>
      <c r="P46" s="2"/>
      <c r="Q46" s="135" t="str">
        <f>IF(ISBLANK('Données à saisir'!B66),"",'Données à saisir'!B66)</f>
        <v/>
      </c>
      <c r="R46" s="54"/>
      <c r="S46" s="54"/>
      <c r="T46" s="130" t="str">
        <f t="shared" si="62"/>
        <v>Matériel de bureau</v>
      </c>
      <c r="U46" s="2"/>
      <c r="V46" s="2"/>
      <c r="W46" s="2"/>
      <c r="X46" s="241">
        <f>'Données à saisir'!C54</f>
        <v>0</v>
      </c>
      <c r="Y46" s="241">
        <f>'Données à saisir'!D54</f>
        <v>0</v>
      </c>
      <c r="Z46" s="242">
        <f>'Données à saisir'!E54</f>
        <v>0</v>
      </c>
      <c r="AA46" s="54"/>
      <c r="AB46" s="54"/>
      <c r="AC46" s="223"/>
      <c r="AD46" s="2"/>
      <c r="AE46" s="2"/>
      <c r="AF46" s="2"/>
      <c r="AG46" s="140"/>
      <c r="AH46" s="140"/>
      <c r="AI46" s="148"/>
      <c r="AJ46" s="54"/>
      <c r="AK46" s="54"/>
      <c r="AL46" s="291" t="s">
        <v>277</v>
      </c>
      <c r="AM46" s="292"/>
      <c r="AN46" s="292"/>
      <c r="AO46" s="285">
        <f>AO44-AO45</f>
        <v>44304</v>
      </c>
      <c r="AP46" s="293"/>
      <c r="AQ46" s="285">
        <f>AQ44-AQ45</f>
        <v>79279.2</v>
      </c>
      <c r="AR46" s="293"/>
      <c r="AS46" s="294">
        <f>AS44-AS45</f>
        <v>118918.8</v>
      </c>
      <c r="AT46" s="283"/>
      <c r="AU46" s="54"/>
      <c r="AV46" s="54"/>
      <c r="AW46" s="112"/>
      <c r="AX46" s="218"/>
      <c r="AY46" s="81"/>
      <c r="AZ46" s="218"/>
      <c r="BA46" s="244"/>
      <c r="BB46" s="244"/>
      <c r="BC46" s="244"/>
      <c r="BD46" s="54"/>
      <c r="BE46" s="54"/>
      <c r="BF46" s="112"/>
      <c r="BG46" s="218"/>
      <c r="BH46" s="81"/>
      <c r="BI46" s="218"/>
      <c r="BJ46" s="244"/>
      <c r="BK46" s="244"/>
      <c r="BL46" s="244"/>
      <c r="BM46" s="54"/>
      <c r="BN46" s="54"/>
      <c r="BO46" s="90"/>
      <c r="BP46" s="81"/>
      <c r="BQ46" s="81"/>
      <c r="BR46" s="213"/>
      <c r="BS46" s="213"/>
      <c r="BT46" s="213"/>
      <c r="BU46" s="213"/>
      <c r="BV46" s="290"/>
      <c r="BW46" s="54"/>
      <c r="BX46" s="54"/>
      <c r="BY46" s="54"/>
      <c r="BZ46" s="54"/>
      <c r="CA46" s="54"/>
      <c r="CB46" s="54"/>
      <c r="CC46" s="54"/>
      <c r="CD46" s="54"/>
      <c r="CE46" s="54"/>
      <c r="CF46" s="54"/>
    </row>
    <row r="47" ht="15.0" customHeight="1">
      <c r="A47" s="54"/>
      <c r="B47" s="88"/>
      <c r="C47" s="295">
        <f>TODAY()</f>
        <v>45807</v>
      </c>
      <c r="H47" s="91"/>
      <c r="I47" s="54"/>
      <c r="J47" s="54"/>
      <c r="K47" s="233"/>
      <c r="L47" s="2"/>
      <c r="M47" s="2"/>
      <c r="N47" s="2"/>
      <c r="O47" s="2"/>
      <c r="P47" s="2"/>
      <c r="Q47" s="296"/>
      <c r="R47" s="54"/>
      <c r="S47" s="54"/>
      <c r="T47" s="210"/>
      <c r="U47" s="204"/>
      <c r="V47" s="204"/>
      <c r="W47" s="204"/>
      <c r="X47" s="297"/>
      <c r="Y47" s="297"/>
      <c r="Z47" s="298"/>
      <c r="AA47" s="54"/>
      <c r="AB47" s="54"/>
      <c r="AC47" s="173" t="s">
        <v>278</v>
      </c>
      <c r="AD47" s="174"/>
      <c r="AE47" s="174"/>
      <c r="AF47" s="174"/>
      <c r="AG47" s="184">
        <f t="shared" ref="AG47:AI47" si="64">AG44-SUM(AG45)</f>
        <v>42024</v>
      </c>
      <c r="AH47" s="184">
        <f t="shared" si="64"/>
        <v>76999.2</v>
      </c>
      <c r="AI47" s="185">
        <f t="shared" si="64"/>
        <v>116638.8</v>
      </c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81"/>
      <c r="AX47" s="81"/>
      <c r="AY47" s="81"/>
      <c r="AZ47" s="81"/>
      <c r="BA47" s="81"/>
      <c r="BB47" s="81"/>
      <c r="BC47" s="81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99"/>
      <c r="BP47" s="81"/>
      <c r="BQ47" s="81"/>
      <c r="BR47" s="290"/>
      <c r="BS47" s="290"/>
      <c r="BT47" s="290"/>
      <c r="BU47" s="290"/>
      <c r="BV47" s="290"/>
      <c r="BW47" s="54"/>
      <c r="BX47" s="54"/>
      <c r="BY47" s="54"/>
      <c r="BZ47" s="54"/>
      <c r="CA47" s="54"/>
      <c r="CB47" s="54"/>
      <c r="CC47" s="54"/>
      <c r="CD47" s="54"/>
      <c r="CE47" s="54"/>
      <c r="CF47" s="54"/>
    </row>
    <row r="48" ht="15.0" customHeight="1">
      <c r="A48" s="54"/>
      <c r="B48" s="102"/>
      <c r="C48" s="103"/>
      <c r="D48" s="103"/>
      <c r="E48" s="103"/>
      <c r="F48" s="103"/>
      <c r="G48" s="103"/>
      <c r="H48" s="249"/>
      <c r="I48" s="54"/>
      <c r="J48" s="54"/>
      <c r="K48" s="299"/>
      <c r="L48" s="204"/>
      <c r="M48" s="204"/>
      <c r="N48" s="204"/>
      <c r="O48" s="300" t="s">
        <v>279</v>
      </c>
      <c r="P48" s="204"/>
      <c r="Q48" s="232">
        <f>SUM(Q37,Q40,Q44:Q46)</f>
        <v>20650</v>
      </c>
      <c r="R48" s="54"/>
      <c r="S48" s="54"/>
      <c r="T48" s="301" t="s">
        <v>280</v>
      </c>
      <c r="U48" s="255"/>
      <c r="V48" s="255"/>
      <c r="W48" s="255"/>
      <c r="X48" s="302">
        <f t="shared" ref="X48:Z48" si="65">SUM(X31,X40)</f>
        <v>2280</v>
      </c>
      <c r="Y48" s="302">
        <f t="shared" si="65"/>
        <v>2280</v>
      </c>
      <c r="Z48" s="303">
        <f t="shared" si="65"/>
        <v>2280</v>
      </c>
      <c r="AA48" s="54"/>
      <c r="AB48" s="54"/>
      <c r="AC48" s="299"/>
      <c r="AD48" s="204"/>
      <c r="AE48" s="204"/>
      <c r="AF48" s="204"/>
      <c r="AG48" s="211"/>
      <c r="AH48" s="304"/>
      <c r="AI48" s="283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90"/>
      <c r="BP48" s="81"/>
      <c r="BQ48" s="81"/>
      <c r="BR48" s="290"/>
      <c r="BS48" s="290"/>
      <c r="BT48" s="290"/>
      <c r="BU48" s="213"/>
      <c r="BV48" s="290"/>
      <c r="BW48" s="54"/>
      <c r="BX48" s="54"/>
      <c r="BY48" s="54"/>
      <c r="BZ48" s="54"/>
      <c r="CA48" s="54"/>
      <c r="CB48" s="54"/>
      <c r="CC48" s="54"/>
      <c r="CD48" s="54"/>
      <c r="CE48" s="54"/>
      <c r="CF48" s="54"/>
    </row>
    <row r="49" ht="26.25" customHeight="1">
      <c r="A49" s="100"/>
      <c r="B49" s="24"/>
      <c r="C49" s="100"/>
      <c r="D49" s="100"/>
      <c r="E49" s="100"/>
      <c r="F49" s="100"/>
      <c r="G49" s="100"/>
      <c r="H49" s="100">
        <v>1.0</v>
      </c>
      <c r="I49" s="100"/>
      <c r="J49" s="100"/>
      <c r="K49" s="24" t="str">
        <f>"Tous les chiffres sont exprimés en "&amp;'Données à saisir'!$B$12</f>
        <v>Tous les chiffres sont exprimés en USD</v>
      </c>
      <c r="L49" s="100"/>
      <c r="M49" s="100"/>
      <c r="N49" s="100"/>
      <c r="O49" s="100"/>
      <c r="P49" s="100"/>
      <c r="Q49" s="100">
        <v>2.0</v>
      </c>
      <c r="R49" s="100"/>
      <c r="S49" s="100"/>
      <c r="T49" s="24" t="str">
        <f>"Tous les chiffres sont exprimés en "&amp;'Données à saisir'!$B$12</f>
        <v>Tous les chiffres sont exprimés en USD</v>
      </c>
      <c r="U49" s="100"/>
      <c r="V49" s="100"/>
      <c r="W49" s="100"/>
      <c r="X49" s="100"/>
      <c r="Y49" s="100"/>
      <c r="Z49" s="100">
        <v>3.0</v>
      </c>
      <c r="AA49" s="100"/>
      <c r="AB49" s="24"/>
      <c r="AC49" s="24" t="str">
        <f>"Tous les chiffres sont exprimés en "&amp;'Données à saisir'!$B$12</f>
        <v>Tous les chiffres sont exprimés en USD</v>
      </c>
      <c r="AD49" s="100"/>
      <c r="AE49" s="100"/>
      <c r="AF49" s="100"/>
      <c r="AG49" s="100"/>
      <c r="AH49" s="100"/>
      <c r="AI49" s="100">
        <v>4.0</v>
      </c>
      <c r="AJ49" s="100"/>
      <c r="AK49" s="100"/>
      <c r="AL49" s="24" t="str">
        <f>"Tous les chiffres sont exprimés en "&amp;'Données à saisir'!$B$12</f>
        <v>Tous les chiffres sont exprimés en USD</v>
      </c>
      <c r="AM49" s="100"/>
      <c r="AN49" s="100"/>
      <c r="AO49" s="100"/>
      <c r="AP49" s="100"/>
      <c r="AQ49" s="100"/>
      <c r="AR49" s="100"/>
      <c r="AS49" s="100"/>
      <c r="AT49" s="100">
        <v>5.0</v>
      </c>
      <c r="AU49" s="100"/>
      <c r="AV49" s="100"/>
      <c r="AW49" s="24" t="str">
        <f>"Tous les chiffres sont exprimés en "&amp;'Données à saisir'!$B$12</f>
        <v>Tous les chiffres sont exprimés en USD</v>
      </c>
      <c r="AX49" s="100"/>
      <c r="AY49" s="100"/>
      <c r="AZ49" s="100"/>
      <c r="BA49" s="100"/>
      <c r="BB49" s="100"/>
      <c r="BC49" s="100">
        <v>6.0</v>
      </c>
      <c r="BD49" s="100"/>
      <c r="BE49" s="100"/>
      <c r="BF49" s="24" t="str">
        <f>"Tous les chiffres sont exprimés en "&amp;'Données à saisir'!$B$12</f>
        <v>Tous les chiffres sont exprimés en USD</v>
      </c>
      <c r="BG49" s="100"/>
      <c r="BH49" s="100"/>
      <c r="BI49" s="100"/>
      <c r="BJ49" s="100"/>
      <c r="BK49" s="100"/>
      <c r="BL49" s="100">
        <v>7.0</v>
      </c>
      <c r="BM49" s="100"/>
      <c r="BN49" s="100"/>
      <c r="BO49" s="24" t="str">
        <f>"Tous les chiffres sont exprimés en "&amp;'Données à saisir'!$B$12</f>
        <v>Tous les chiffres sont exprimés en USD</v>
      </c>
      <c r="BP49" s="100"/>
      <c r="BQ49" s="100"/>
      <c r="BR49" s="100"/>
      <c r="BS49" s="100"/>
      <c r="BT49" s="100"/>
      <c r="BU49" s="100"/>
      <c r="BV49" s="100">
        <v>8.0</v>
      </c>
      <c r="BW49" s="100"/>
      <c r="BX49" s="100"/>
      <c r="BY49" s="24" t="str">
        <f>"Tous les chiffres sont exprimés en "&amp;'Données à saisir'!$B$12</f>
        <v>Tous les chiffres sont exprimés en USD</v>
      </c>
      <c r="BZ49" s="100"/>
      <c r="CA49" s="100"/>
      <c r="CB49" s="100"/>
      <c r="CC49" s="100"/>
      <c r="CD49" s="100"/>
      <c r="CE49" s="100"/>
      <c r="CF49" s="100">
        <v>9.0</v>
      </c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81"/>
      <c r="BS50" s="81"/>
      <c r="BT50" s="81"/>
      <c r="BU50" s="81"/>
      <c r="BV50" s="81"/>
      <c r="BW50" s="54"/>
      <c r="BX50" s="54"/>
      <c r="BY50" s="54"/>
      <c r="BZ50" s="54"/>
      <c r="CA50" s="54"/>
      <c r="CB50" s="54"/>
      <c r="CC50" s="54"/>
      <c r="CD50" s="54"/>
      <c r="CE50" s="54"/>
      <c r="CF50" s="54"/>
    </row>
    <row r="51" ht="15.0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213"/>
      <c r="Y51" s="54"/>
      <c r="Z51" s="54"/>
      <c r="AA51" s="54"/>
      <c r="AB51" s="54"/>
      <c r="AC51" s="54"/>
      <c r="AD51" s="54"/>
      <c r="AE51" s="54"/>
      <c r="AF51" s="54"/>
      <c r="AG51" s="213"/>
      <c r="AH51" s="54"/>
      <c r="AI51" s="54"/>
      <c r="AJ51" s="54"/>
      <c r="AK51" s="54"/>
      <c r="AL51" s="54"/>
      <c r="AM51" s="54"/>
      <c r="AN51" s="54"/>
      <c r="AO51" s="213"/>
      <c r="AP51" s="213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213"/>
      <c r="BB51" s="54"/>
      <c r="BC51" s="54"/>
      <c r="BD51" s="54"/>
      <c r="BE51" s="54"/>
      <c r="BF51" s="54"/>
      <c r="BG51" s="54"/>
      <c r="BH51" s="54"/>
      <c r="BI51" s="54"/>
      <c r="BJ51" s="213"/>
      <c r="BK51" s="54"/>
      <c r="BL51" s="54"/>
      <c r="BM51" s="54"/>
      <c r="BN51" s="54"/>
      <c r="BO51" s="54"/>
      <c r="BP51" s="54"/>
      <c r="BQ51" s="54"/>
      <c r="BR51" s="81"/>
      <c r="BS51" s="213"/>
      <c r="BT51" s="213"/>
      <c r="BU51" s="81"/>
      <c r="BV51" s="81"/>
      <c r="BW51" s="54"/>
      <c r="BX51" s="54"/>
      <c r="BY51" s="54"/>
      <c r="BZ51" s="54"/>
      <c r="CA51" s="54"/>
      <c r="CB51" s="54"/>
      <c r="CC51" s="54"/>
      <c r="CD51" s="54"/>
      <c r="CE51" s="54"/>
      <c r="CF51" s="54"/>
    </row>
    <row r="52" ht="15.0" hidden="1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213"/>
      <c r="Y52" s="213"/>
      <c r="Z52" s="213"/>
      <c r="AA52" s="54"/>
      <c r="AB52" s="54"/>
      <c r="AC52" s="54" t="s">
        <v>281</v>
      </c>
      <c r="AD52" s="54"/>
      <c r="AE52" s="54"/>
      <c r="AF52" s="54"/>
      <c r="AG52" s="213">
        <f t="shared" ref="AG52:AI52" si="66">AG35-SUM(AG36:AG38,AG42:AG43)</f>
        <v>42024</v>
      </c>
      <c r="AH52" s="213">
        <f t="shared" si="66"/>
        <v>76999.2</v>
      </c>
      <c r="AI52" s="213">
        <f t="shared" si="66"/>
        <v>116638.8</v>
      </c>
      <c r="AJ52" s="54"/>
      <c r="AK52" s="54"/>
      <c r="AL52" s="54"/>
      <c r="AM52" s="54"/>
      <c r="AN52" s="54"/>
      <c r="AO52" s="213"/>
      <c r="AP52" s="213"/>
      <c r="AQ52" s="213"/>
      <c r="AR52" s="213"/>
      <c r="AS52" s="213"/>
      <c r="AT52" s="213"/>
      <c r="AU52" s="54"/>
      <c r="AV52" s="54"/>
      <c r="AW52" s="54"/>
      <c r="AX52" s="54"/>
      <c r="AY52" s="54"/>
      <c r="AZ52" s="54"/>
      <c r="BA52" s="213"/>
      <c r="BB52" s="213"/>
      <c r="BC52" s="213"/>
      <c r="BD52" s="54"/>
      <c r="BE52" s="54"/>
      <c r="BF52" s="54"/>
      <c r="BG52" s="54"/>
      <c r="BH52" s="54"/>
      <c r="BI52" s="54"/>
      <c r="BJ52" s="213"/>
      <c r="BK52" s="213"/>
      <c r="BL52" s="213"/>
      <c r="BM52" s="54"/>
      <c r="BN52" s="54"/>
      <c r="BO52" s="54"/>
      <c r="BP52" s="54"/>
      <c r="BQ52" s="54"/>
      <c r="BR52" s="81"/>
      <c r="BS52" s="213"/>
      <c r="BT52" s="213"/>
      <c r="BU52" s="213"/>
      <c r="BV52" s="213"/>
      <c r="BW52" s="54"/>
      <c r="BX52" s="54"/>
      <c r="BY52" s="54"/>
      <c r="BZ52" s="54"/>
      <c r="CA52" s="54"/>
      <c r="CB52" s="54"/>
      <c r="CC52" s="54"/>
      <c r="CD52" s="54"/>
      <c r="CE52" s="54"/>
      <c r="CF52" s="54"/>
    </row>
    <row r="53" ht="15.0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213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81"/>
      <c r="BS53" s="81"/>
      <c r="BT53" s="81"/>
      <c r="BU53" s="81"/>
      <c r="BV53" s="81"/>
      <c r="BW53" s="54"/>
      <c r="BX53" s="54"/>
      <c r="BY53" s="54"/>
      <c r="BZ53" s="54"/>
      <c r="CA53" s="54"/>
      <c r="CB53" s="54"/>
      <c r="CC53" s="54"/>
      <c r="CD53" s="54"/>
      <c r="CE53" s="54"/>
      <c r="CF53" s="54"/>
    </row>
    <row r="54" ht="15.0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213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81"/>
      <c r="BS54" s="81"/>
      <c r="BT54" s="81"/>
      <c r="BU54" s="81"/>
      <c r="BV54" s="81"/>
      <c r="BW54" s="54"/>
      <c r="BX54" s="54"/>
      <c r="BY54" s="54"/>
      <c r="BZ54" s="54"/>
      <c r="CA54" s="54"/>
      <c r="CB54" s="54"/>
      <c r="CC54" s="54"/>
      <c r="CD54" s="54"/>
      <c r="CE54" s="54"/>
      <c r="CF54" s="54"/>
    </row>
    <row r="55" ht="15.0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213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81"/>
      <c r="BS55" s="81"/>
      <c r="BT55" s="81"/>
      <c r="BU55" s="81"/>
      <c r="BV55" s="81"/>
      <c r="BW55" s="54"/>
      <c r="BX55" s="54"/>
      <c r="BY55" s="54"/>
      <c r="BZ55" s="54"/>
      <c r="CA55" s="54"/>
      <c r="CB55" s="54"/>
      <c r="CC55" s="54"/>
      <c r="CD55" s="54"/>
      <c r="CE55" s="54"/>
      <c r="CF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81"/>
      <c r="BS56" s="81"/>
      <c r="BT56" s="81"/>
      <c r="BU56" s="81"/>
      <c r="BV56" s="81"/>
      <c r="BW56" s="54"/>
      <c r="BX56" s="54"/>
      <c r="BY56" s="54"/>
      <c r="BZ56" s="54"/>
      <c r="CA56" s="54"/>
      <c r="CB56" s="54"/>
      <c r="CC56" s="54"/>
      <c r="CD56" s="54"/>
      <c r="CE56" s="54"/>
      <c r="CF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81"/>
      <c r="BS57" s="81"/>
      <c r="BT57" s="81"/>
      <c r="BU57" s="81"/>
      <c r="BV57" s="81"/>
      <c r="BW57" s="54"/>
      <c r="BX57" s="54"/>
      <c r="BY57" s="54"/>
      <c r="BZ57" s="54"/>
      <c r="CA57" s="54"/>
      <c r="CB57" s="54"/>
      <c r="CC57" s="54"/>
      <c r="CD57" s="54"/>
      <c r="CE57" s="54"/>
      <c r="CF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81"/>
      <c r="BS58" s="81"/>
      <c r="BT58" s="81"/>
      <c r="BU58" s="81"/>
      <c r="BV58" s="81"/>
      <c r="BW58" s="54"/>
      <c r="BX58" s="54"/>
      <c r="BY58" s="54"/>
      <c r="BZ58" s="54"/>
      <c r="CA58" s="54"/>
      <c r="CB58" s="54"/>
      <c r="CC58" s="54"/>
      <c r="CD58" s="54"/>
      <c r="CE58" s="54"/>
      <c r="CF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81"/>
      <c r="BS59" s="81"/>
      <c r="BT59" s="81"/>
      <c r="BU59" s="81"/>
      <c r="BV59" s="81"/>
      <c r="BW59" s="54"/>
      <c r="BX59" s="54"/>
      <c r="BY59" s="54"/>
      <c r="BZ59" s="54"/>
      <c r="CA59" s="54"/>
      <c r="CB59" s="54"/>
      <c r="CC59" s="54"/>
      <c r="CD59" s="54"/>
      <c r="CE59" s="54"/>
      <c r="CF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81"/>
      <c r="BS60" s="81"/>
      <c r="BT60" s="81"/>
      <c r="BU60" s="81"/>
      <c r="BV60" s="81"/>
      <c r="BW60" s="54"/>
      <c r="BX60" s="54"/>
      <c r="BY60" s="54"/>
      <c r="BZ60" s="54"/>
      <c r="CA60" s="54"/>
      <c r="CB60" s="54"/>
      <c r="CC60" s="54"/>
      <c r="CD60" s="54"/>
      <c r="CE60" s="54"/>
      <c r="CF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81"/>
      <c r="BS61" s="81"/>
      <c r="BT61" s="81"/>
      <c r="BU61" s="81"/>
      <c r="BV61" s="81"/>
      <c r="BW61" s="54"/>
      <c r="BX61" s="54"/>
      <c r="BY61" s="54"/>
      <c r="BZ61" s="54"/>
      <c r="CA61" s="54"/>
      <c r="CB61" s="54"/>
      <c r="CC61" s="54"/>
      <c r="CD61" s="54"/>
      <c r="CE61" s="54"/>
      <c r="CF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81"/>
      <c r="BS62" s="81"/>
      <c r="BT62" s="81"/>
      <c r="BU62" s="81"/>
      <c r="BV62" s="81"/>
      <c r="BW62" s="54"/>
      <c r="BX62" s="54"/>
      <c r="BY62" s="54"/>
      <c r="BZ62" s="54"/>
      <c r="CA62" s="54"/>
      <c r="CB62" s="54"/>
      <c r="CC62" s="54"/>
      <c r="CD62" s="54"/>
      <c r="CE62" s="54"/>
      <c r="CF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81"/>
      <c r="BS63" s="81"/>
      <c r="BT63" s="81"/>
      <c r="BU63" s="81"/>
      <c r="BV63" s="81"/>
      <c r="BW63" s="54"/>
      <c r="BX63" s="54"/>
      <c r="BY63" s="54"/>
      <c r="BZ63" s="54"/>
      <c r="CA63" s="54"/>
      <c r="CB63" s="54"/>
      <c r="CC63" s="54"/>
      <c r="CD63" s="54"/>
      <c r="CE63" s="54"/>
      <c r="CF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81"/>
      <c r="BS64" s="81"/>
      <c r="BT64" s="81"/>
      <c r="BU64" s="81"/>
      <c r="BV64" s="81"/>
      <c r="BW64" s="54"/>
      <c r="BX64" s="54"/>
      <c r="BY64" s="54"/>
      <c r="BZ64" s="54"/>
      <c r="CA64" s="54"/>
      <c r="CB64" s="54"/>
      <c r="CC64" s="54"/>
      <c r="CD64" s="54"/>
      <c r="CE64" s="54"/>
      <c r="CF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81"/>
      <c r="BS65" s="81"/>
      <c r="BT65" s="81"/>
      <c r="BU65" s="81"/>
      <c r="BV65" s="81"/>
      <c r="BW65" s="54"/>
      <c r="BX65" s="54"/>
      <c r="BY65" s="54"/>
      <c r="BZ65" s="54"/>
      <c r="CA65" s="54"/>
      <c r="CB65" s="54"/>
      <c r="CC65" s="54"/>
      <c r="CD65" s="54"/>
      <c r="CE65" s="54"/>
      <c r="CF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81"/>
      <c r="BS66" s="81"/>
      <c r="BT66" s="81"/>
      <c r="BU66" s="81"/>
      <c r="BV66" s="81"/>
      <c r="BW66" s="54"/>
      <c r="BX66" s="54"/>
      <c r="BY66" s="54"/>
      <c r="BZ66" s="54"/>
      <c r="CA66" s="54"/>
      <c r="CB66" s="54"/>
      <c r="CC66" s="54"/>
      <c r="CD66" s="54"/>
      <c r="CE66" s="54"/>
      <c r="CF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81"/>
      <c r="BS67" s="81"/>
      <c r="BT67" s="81"/>
      <c r="BU67" s="81"/>
      <c r="BV67" s="81"/>
      <c r="BW67" s="54"/>
      <c r="BX67" s="54"/>
      <c r="BY67" s="54"/>
      <c r="BZ67" s="54"/>
      <c r="CA67" s="54"/>
      <c r="CB67" s="54"/>
      <c r="CC67" s="54"/>
      <c r="CD67" s="54"/>
      <c r="CE67" s="54"/>
      <c r="CF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81"/>
      <c r="BS68" s="81"/>
      <c r="BT68" s="81"/>
      <c r="BU68" s="81"/>
      <c r="BV68" s="81"/>
      <c r="BW68" s="54"/>
      <c r="BX68" s="54"/>
      <c r="BY68" s="54"/>
      <c r="BZ68" s="54"/>
      <c r="CA68" s="54"/>
      <c r="CB68" s="54"/>
      <c r="CC68" s="54"/>
      <c r="CD68" s="54"/>
      <c r="CE68" s="54"/>
      <c r="CF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81"/>
      <c r="BS69" s="81"/>
      <c r="BT69" s="81"/>
      <c r="BU69" s="81"/>
      <c r="BV69" s="81"/>
      <c r="BW69" s="54"/>
      <c r="BX69" s="54"/>
      <c r="BY69" s="54"/>
      <c r="BZ69" s="54"/>
      <c r="CA69" s="54"/>
      <c r="CB69" s="54"/>
      <c r="CC69" s="54"/>
      <c r="CD69" s="54"/>
      <c r="CE69" s="54"/>
      <c r="CF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81"/>
      <c r="BS70" s="81"/>
      <c r="BT70" s="81"/>
      <c r="BU70" s="81"/>
      <c r="BV70" s="81"/>
      <c r="BW70" s="54"/>
      <c r="BX70" s="54"/>
      <c r="BY70" s="54"/>
      <c r="BZ70" s="54"/>
      <c r="CA70" s="54"/>
      <c r="CB70" s="54"/>
      <c r="CC70" s="54"/>
      <c r="CD70" s="54"/>
      <c r="CE70" s="54"/>
      <c r="CF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81"/>
      <c r="BS71" s="81"/>
      <c r="BT71" s="81"/>
      <c r="BU71" s="81"/>
      <c r="BV71" s="81"/>
      <c r="BW71" s="54"/>
      <c r="BX71" s="54"/>
      <c r="BY71" s="54"/>
      <c r="BZ71" s="54"/>
      <c r="CA71" s="54"/>
      <c r="CB71" s="54"/>
      <c r="CC71" s="54"/>
      <c r="CD71" s="54"/>
      <c r="CE71" s="54"/>
      <c r="CF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81"/>
      <c r="BS72" s="81"/>
      <c r="BT72" s="81"/>
      <c r="BU72" s="81"/>
      <c r="BV72" s="81"/>
      <c r="BW72" s="54"/>
      <c r="BX72" s="54"/>
      <c r="BY72" s="54"/>
      <c r="BZ72" s="54"/>
      <c r="CA72" s="54"/>
      <c r="CB72" s="54"/>
      <c r="CC72" s="54"/>
      <c r="CD72" s="54"/>
      <c r="CE72" s="54"/>
      <c r="CF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81"/>
      <c r="BS73" s="81"/>
      <c r="BT73" s="81"/>
      <c r="BU73" s="81"/>
      <c r="BV73" s="81"/>
      <c r="BW73" s="54"/>
      <c r="BX73" s="54"/>
      <c r="BY73" s="54"/>
      <c r="BZ73" s="54"/>
      <c r="CA73" s="54"/>
      <c r="CB73" s="54"/>
      <c r="CC73" s="54"/>
      <c r="CD73" s="54"/>
      <c r="CE73" s="54"/>
      <c r="CF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81"/>
      <c r="BS74" s="81"/>
      <c r="BT74" s="81"/>
      <c r="BU74" s="81"/>
      <c r="BV74" s="81"/>
      <c r="BW74" s="54"/>
      <c r="BX74" s="54"/>
      <c r="BY74" s="54"/>
      <c r="BZ74" s="54"/>
      <c r="CA74" s="54"/>
      <c r="CB74" s="54"/>
      <c r="CC74" s="54"/>
      <c r="CD74" s="54"/>
      <c r="CE74" s="54"/>
      <c r="CF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81"/>
      <c r="BS75" s="81"/>
      <c r="BT75" s="81"/>
      <c r="BU75" s="81"/>
      <c r="BV75" s="81"/>
      <c r="BW75" s="54"/>
      <c r="BX75" s="54"/>
      <c r="BY75" s="54"/>
      <c r="BZ75" s="54"/>
      <c r="CA75" s="54"/>
      <c r="CB75" s="54"/>
      <c r="CC75" s="54"/>
      <c r="CD75" s="54"/>
      <c r="CE75" s="54"/>
      <c r="CF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81"/>
      <c r="BS76" s="81"/>
      <c r="BT76" s="81"/>
      <c r="BU76" s="81"/>
      <c r="BV76" s="81"/>
      <c r="BW76" s="54"/>
      <c r="BX76" s="54"/>
      <c r="BY76" s="54"/>
      <c r="BZ76" s="54"/>
      <c r="CA76" s="54"/>
      <c r="CB76" s="54"/>
      <c r="CC76" s="54"/>
      <c r="CD76" s="54"/>
      <c r="CE76" s="54"/>
      <c r="CF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81"/>
      <c r="BS77" s="81"/>
      <c r="BT77" s="81"/>
      <c r="BU77" s="81"/>
      <c r="BV77" s="81"/>
      <c r="BW77" s="54"/>
      <c r="BX77" s="54"/>
      <c r="BY77" s="54"/>
      <c r="BZ77" s="54"/>
      <c r="CA77" s="54"/>
      <c r="CB77" s="54"/>
      <c r="CC77" s="54"/>
      <c r="CD77" s="54"/>
      <c r="CE77" s="54"/>
      <c r="CF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81"/>
      <c r="BS78" s="81"/>
      <c r="BT78" s="81"/>
      <c r="BU78" s="81"/>
      <c r="BV78" s="81"/>
      <c r="BW78" s="54"/>
      <c r="BX78" s="54"/>
      <c r="BY78" s="54"/>
      <c r="BZ78" s="54"/>
      <c r="CA78" s="54"/>
      <c r="CB78" s="54"/>
      <c r="CC78" s="54"/>
      <c r="CD78" s="54"/>
      <c r="CE78" s="54"/>
      <c r="CF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81"/>
      <c r="BS79" s="81"/>
      <c r="BT79" s="81"/>
      <c r="BU79" s="81"/>
      <c r="BV79" s="81"/>
      <c r="BW79" s="54"/>
      <c r="BX79" s="54"/>
      <c r="BY79" s="54"/>
      <c r="BZ79" s="54"/>
      <c r="CA79" s="54"/>
      <c r="CB79" s="54"/>
      <c r="CC79" s="54"/>
      <c r="CD79" s="54"/>
      <c r="CE79" s="54"/>
      <c r="CF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81"/>
      <c r="BS80" s="81"/>
      <c r="BT80" s="81"/>
      <c r="BU80" s="81"/>
      <c r="BV80" s="81"/>
      <c r="BW80" s="54"/>
      <c r="BX80" s="54"/>
      <c r="BY80" s="54"/>
      <c r="BZ80" s="54"/>
      <c r="CA80" s="54"/>
      <c r="CB80" s="54"/>
      <c r="CC80" s="54"/>
      <c r="CD80" s="54"/>
      <c r="CE80" s="54"/>
      <c r="CF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81"/>
      <c r="BS81" s="81"/>
      <c r="BT81" s="81"/>
      <c r="BU81" s="81"/>
      <c r="BV81" s="81"/>
      <c r="BW81" s="54"/>
      <c r="BX81" s="54"/>
      <c r="BY81" s="54"/>
      <c r="BZ81" s="54"/>
      <c r="CA81" s="54"/>
      <c r="CB81" s="54"/>
      <c r="CC81" s="54"/>
      <c r="CD81" s="54"/>
      <c r="CE81" s="54"/>
      <c r="CF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81"/>
      <c r="BS82" s="81"/>
      <c r="BT82" s="81"/>
      <c r="BU82" s="81"/>
      <c r="BV82" s="81"/>
      <c r="BW82" s="54"/>
      <c r="BX82" s="54"/>
      <c r="BY82" s="54"/>
      <c r="BZ82" s="54"/>
      <c r="CA82" s="54"/>
      <c r="CB82" s="54"/>
      <c r="CC82" s="54"/>
      <c r="CD82" s="54"/>
      <c r="CE82" s="54"/>
      <c r="CF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81"/>
      <c r="BS83" s="81"/>
      <c r="BT83" s="81"/>
      <c r="BU83" s="81"/>
      <c r="BV83" s="81"/>
      <c r="BW83" s="54"/>
      <c r="BX83" s="54"/>
      <c r="BY83" s="54"/>
      <c r="BZ83" s="54"/>
      <c r="CA83" s="54"/>
      <c r="CB83" s="54"/>
      <c r="CC83" s="54"/>
      <c r="CD83" s="54"/>
      <c r="CE83" s="54"/>
      <c r="CF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81"/>
      <c r="BS84" s="81"/>
      <c r="BT84" s="81"/>
      <c r="BU84" s="81"/>
      <c r="BV84" s="81"/>
      <c r="BW84" s="54"/>
      <c r="BX84" s="54"/>
      <c r="BY84" s="54"/>
      <c r="BZ84" s="54"/>
      <c r="CA84" s="54"/>
      <c r="CB84" s="54"/>
      <c r="CC84" s="54"/>
      <c r="CD84" s="54"/>
      <c r="CE84" s="54"/>
      <c r="CF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81"/>
      <c r="BS85" s="81"/>
      <c r="BT85" s="81"/>
      <c r="BU85" s="81"/>
      <c r="BV85" s="81"/>
      <c r="BW85" s="54"/>
      <c r="BX85" s="54"/>
      <c r="BY85" s="54"/>
      <c r="BZ85" s="54"/>
      <c r="CA85" s="54"/>
      <c r="CB85" s="54"/>
      <c r="CC85" s="54"/>
      <c r="CD85" s="54"/>
      <c r="CE85" s="54"/>
      <c r="CF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81"/>
      <c r="BS86" s="81"/>
      <c r="BT86" s="81"/>
      <c r="BU86" s="81"/>
      <c r="BV86" s="81"/>
      <c r="BW86" s="54"/>
      <c r="BX86" s="54"/>
      <c r="BY86" s="54"/>
      <c r="BZ86" s="54"/>
      <c r="CA86" s="54"/>
      <c r="CB86" s="54"/>
      <c r="CC86" s="54"/>
      <c r="CD86" s="54"/>
      <c r="CE86" s="54"/>
      <c r="CF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81"/>
      <c r="BS87" s="81"/>
      <c r="BT87" s="81"/>
      <c r="BU87" s="81"/>
      <c r="BV87" s="81"/>
      <c r="BW87" s="54"/>
      <c r="BX87" s="54"/>
      <c r="BY87" s="54"/>
      <c r="BZ87" s="54"/>
      <c r="CA87" s="54"/>
      <c r="CB87" s="54"/>
      <c r="CC87" s="54"/>
      <c r="CD87" s="54"/>
      <c r="CE87" s="54"/>
      <c r="CF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81"/>
      <c r="BS88" s="81"/>
      <c r="BT88" s="81"/>
      <c r="BU88" s="81"/>
      <c r="BV88" s="81"/>
      <c r="BW88" s="54"/>
      <c r="BX88" s="54"/>
      <c r="BY88" s="54"/>
      <c r="BZ88" s="54"/>
      <c r="CA88" s="54"/>
      <c r="CB88" s="54"/>
      <c r="CC88" s="54"/>
      <c r="CD88" s="54"/>
      <c r="CE88" s="54"/>
      <c r="CF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81"/>
      <c r="BS89" s="81"/>
      <c r="BT89" s="81"/>
      <c r="BU89" s="81"/>
      <c r="BV89" s="81"/>
      <c r="BW89" s="54"/>
      <c r="BX89" s="54"/>
      <c r="BY89" s="54"/>
      <c r="BZ89" s="54"/>
      <c r="CA89" s="54"/>
      <c r="CB89" s="54"/>
      <c r="CC89" s="54"/>
      <c r="CD89" s="54"/>
      <c r="CE89" s="54"/>
      <c r="CF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81"/>
      <c r="BS90" s="81"/>
      <c r="BT90" s="81"/>
      <c r="BU90" s="81"/>
      <c r="BV90" s="81"/>
      <c r="BW90" s="54"/>
      <c r="BX90" s="54"/>
      <c r="BY90" s="54"/>
      <c r="BZ90" s="54"/>
      <c r="CA90" s="54"/>
      <c r="CB90" s="54"/>
      <c r="CC90" s="54"/>
      <c r="CD90" s="54"/>
      <c r="CE90" s="54"/>
      <c r="CF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81"/>
      <c r="BS91" s="81"/>
      <c r="BT91" s="81"/>
      <c r="BU91" s="81"/>
      <c r="BV91" s="81"/>
      <c r="BW91" s="54"/>
      <c r="BX91" s="54"/>
      <c r="BY91" s="54"/>
      <c r="BZ91" s="54"/>
      <c r="CA91" s="54"/>
      <c r="CB91" s="54"/>
      <c r="CC91" s="54"/>
      <c r="CD91" s="54"/>
      <c r="CE91" s="54"/>
      <c r="CF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81"/>
      <c r="BS92" s="81"/>
      <c r="BT92" s="81"/>
      <c r="BU92" s="81"/>
      <c r="BV92" s="81"/>
      <c r="BW92" s="54"/>
      <c r="BX92" s="54"/>
      <c r="BY92" s="54"/>
      <c r="BZ92" s="54"/>
      <c r="CA92" s="54"/>
      <c r="CB92" s="54"/>
      <c r="CC92" s="54"/>
      <c r="CD92" s="54"/>
      <c r="CE92" s="54"/>
      <c r="CF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81"/>
      <c r="BS93" s="81"/>
      <c r="BT93" s="81"/>
      <c r="BU93" s="81"/>
      <c r="BV93" s="81"/>
      <c r="BW93" s="54"/>
      <c r="BX93" s="54"/>
      <c r="BY93" s="54"/>
      <c r="BZ93" s="54"/>
      <c r="CA93" s="54"/>
      <c r="CB93" s="54"/>
      <c r="CC93" s="54"/>
      <c r="CD93" s="54"/>
      <c r="CE93" s="54"/>
      <c r="CF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81"/>
      <c r="BS94" s="81"/>
      <c r="BT94" s="81"/>
      <c r="BU94" s="81"/>
      <c r="BV94" s="81"/>
      <c r="BW94" s="54"/>
      <c r="BX94" s="54"/>
      <c r="BY94" s="54"/>
      <c r="BZ94" s="54"/>
      <c r="CA94" s="54"/>
      <c r="CB94" s="54"/>
      <c r="CC94" s="54"/>
      <c r="CD94" s="54"/>
      <c r="CE94" s="54"/>
      <c r="CF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81"/>
      <c r="BS95" s="81"/>
      <c r="BT95" s="81"/>
      <c r="BU95" s="81"/>
      <c r="BV95" s="81"/>
      <c r="BW95" s="54"/>
      <c r="BX95" s="54"/>
      <c r="BY95" s="54"/>
      <c r="BZ95" s="54"/>
      <c r="CA95" s="54"/>
      <c r="CB95" s="54"/>
      <c r="CC95" s="54"/>
      <c r="CD95" s="54"/>
      <c r="CE95" s="54"/>
      <c r="CF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81"/>
      <c r="BS96" s="81"/>
      <c r="BT96" s="81"/>
      <c r="BU96" s="81"/>
      <c r="BV96" s="81"/>
      <c r="BW96" s="54"/>
      <c r="BX96" s="54"/>
      <c r="BY96" s="54"/>
      <c r="BZ96" s="54"/>
      <c r="CA96" s="54"/>
      <c r="CB96" s="54"/>
      <c r="CC96" s="54"/>
      <c r="CD96" s="54"/>
      <c r="CE96" s="54"/>
      <c r="CF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81"/>
      <c r="BS97" s="81"/>
      <c r="BT97" s="81"/>
      <c r="BU97" s="81"/>
      <c r="BV97" s="81"/>
      <c r="BW97" s="54"/>
      <c r="BX97" s="54"/>
      <c r="BY97" s="54"/>
      <c r="BZ97" s="54"/>
      <c r="CA97" s="54"/>
      <c r="CB97" s="54"/>
      <c r="CC97" s="54"/>
      <c r="CD97" s="54"/>
      <c r="CE97" s="54"/>
      <c r="CF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81"/>
      <c r="BS98" s="81"/>
      <c r="BT98" s="81"/>
      <c r="BU98" s="81"/>
      <c r="BV98" s="81"/>
      <c r="BW98" s="54"/>
      <c r="BX98" s="54"/>
      <c r="BY98" s="54"/>
      <c r="BZ98" s="54"/>
      <c r="CA98" s="54"/>
      <c r="CB98" s="54"/>
      <c r="CC98" s="54"/>
      <c r="CD98" s="54"/>
      <c r="CE98" s="54"/>
      <c r="CF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81"/>
      <c r="BS99" s="81"/>
      <c r="BT99" s="81"/>
      <c r="BU99" s="81"/>
      <c r="BV99" s="81"/>
      <c r="BW99" s="54"/>
      <c r="BX99" s="54"/>
      <c r="BY99" s="54"/>
      <c r="BZ99" s="54"/>
      <c r="CA99" s="54"/>
      <c r="CB99" s="54"/>
      <c r="CC99" s="54"/>
      <c r="CD99" s="54"/>
      <c r="CE99" s="54"/>
      <c r="CF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81"/>
      <c r="BS100" s="81"/>
      <c r="BT100" s="81"/>
      <c r="BU100" s="81"/>
      <c r="BV100" s="81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81"/>
      <c r="BS101" s="81"/>
      <c r="BT101" s="81"/>
      <c r="BU101" s="81"/>
      <c r="BV101" s="81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81"/>
      <c r="BS102" s="81"/>
      <c r="BT102" s="81"/>
      <c r="BU102" s="81"/>
      <c r="BV102" s="81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81"/>
      <c r="BS103" s="81"/>
      <c r="BT103" s="81"/>
      <c r="BU103" s="81"/>
      <c r="BV103" s="81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81"/>
      <c r="BS104" s="81"/>
      <c r="BT104" s="81"/>
      <c r="BU104" s="81"/>
      <c r="BV104" s="81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81"/>
      <c r="BS105" s="81"/>
      <c r="BT105" s="81"/>
      <c r="BU105" s="81"/>
      <c r="BV105" s="81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81"/>
      <c r="BS106" s="81"/>
      <c r="BT106" s="81"/>
      <c r="BU106" s="81"/>
      <c r="BV106" s="81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81"/>
      <c r="BS107" s="81"/>
      <c r="BT107" s="81"/>
      <c r="BU107" s="81"/>
      <c r="BV107" s="81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81"/>
      <c r="BS108" s="81"/>
      <c r="BT108" s="81"/>
      <c r="BU108" s="81"/>
      <c r="BV108" s="81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81"/>
      <c r="BS109" s="81"/>
      <c r="BT109" s="81"/>
      <c r="BU109" s="81"/>
      <c r="BV109" s="81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81"/>
      <c r="BS110" s="81"/>
      <c r="BT110" s="81"/>
      <c r="BU110" s="81"/>
      <c r="BV110" s="81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81"/>
      <c r="BS111" s="81"/>
      <c r="BT111" s="81"/>
      <c r="BU111" s="81"/>
      <c r="BV111" s="81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81"/>
      <c r="BS112" s="81"/>
      <c r="BT112" s="81"/>
      <c r="BU112" s="81"/>
      <c r="BV112" s="81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81"/>
      <c r="BS113" s="81"/>
      <c r="BT113" s="81"/>
      <c r="BU113" s="81"/>
      <c r="BV113" s="81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81"/>
      <c r="BS114" s="81"/>
      <c r="BT114" s="81"/>
      <c r="BU114" s="81"/>
      <c r="BV114" s="81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81"/>
      <c r="BS115" s="81"/>
      <c r="BT115" s="81"/>
      <c r="BU115" s="81"/>
      <c r="BV115" s="81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81"/>
      <c r="BS116" s="81"/>
      <c r="BT116" s="81"/>
      <c r="BU116" s="81"/>
      <c r="BV116" s="81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81"/>
      <c r="BS117" s="81"/>
      <c r="BT117" s="81"/>
      <c r="BU117" s="81"/>
      <c r="BV117" s="81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81"/>
      <c r="BS118" s="81"/>
      <c r="BT118" s="81"/>
      <c r="BU118" s="81"/>
      <c r="BV118" s="81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81"/>
      <c r="BS119" s="81"/>
      <c r="BT119" s="81"/>
      <c r="BU119" s="81"/>
      <c r="BV119" s="81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81"/>
      <c r="BS120" s="81"/>
      <c r="BT120" s="81"/>
      <c r="BU120" s="81"/>
      <c r="BV120" s="81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81"/>
      <c r="BS121" s="81"/>
      <c r="BT121" s="81"/>
      <c r="BU121" s="81"/>
      <c r="BV121" s="81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81"/>
      <c r="BS122" s="81"/>
      <c r="BT122" s="81"/>
      <c r="BU122" s="81"/>
      <c r="BV122" s="81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81"/>
      <c r="BS123" s="81"/>
      <c r="BT123" s="81"/>
      <c r="BU123" s="81"/>
      <c r="BV123" s="81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81"/>
      <c r="BS124" s="81"/>
      <c r="BT124" s="81"/>
      <c r="BU124" s="81"/>
      <c r="BV124" s="81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81"/>
      <c r="BS125" s="81"/>
      <c r="BT125" s="81"/>
      <c r="BU125" s="81"/>
      <c r="BV125" s="81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81"/>
      <c r="BS126" s="81"/>
      <c r="BT126" s="81"/>
      <c r="BU126" s="81"/>
      <c r="BV126" s="81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81"/>
      <c r="BS127" s="81"/>
      <c r="BT127" s="81"/>
      <c r="BU127" s="81"/>
      <c r="BV127" s="81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81"/>
      <c r="BS128" s="81"/>
      <c r="BT128" s="81"/>
      <c r="BU128" s="81"/>
      <c r="BV128" s="81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81"/>
      <c r="BS129" s="81"/>
      <c r="BT129" s="81"/>
      <c r="BU129" s="81"/>
      <c r="BV129" s="81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81"/>
      <c r="BS130" s="81"/>
      <c r="BT130" s="81"/>
      <c r="BU130" s="81"/>
      <c r="BV130" s="81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81"/>
      <c r="BS131" s="81"/>
      <c r="BT131" s="81"/>
      <c r="BU131" s="81"/>
      <c r="BV131" s="81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81"/>
      <c r="BS132" s="81"/>
      <c r="BT132" s="81"/>
      <c r="BU132" s="81"/>
      <c r="BV132" s="81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81"/>
      <c r="BS133" s="81"/>
      <c r="BT133" s="81"/>
      <c r="BU133" s="81"/>
      <c r="BV133" s="81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81"/>
      <c r="BS134" s="81"/>
      <c r="BT134" s="81"/>
      <c r="BU134" s="81"/>
      <c r="BV134" s="81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81"/>
      <c r="BS135" s="81"/>
      <c r="BT135" s="81"/>
      <c r="BU135" s="81"/>
      <c r="BV135" s="81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81"/>
      <c r="BS136" s="81"/>
      <c r="BT136" s="81"/>
      <c r="BU136" s="81"/>
      <c r="BV136" s="81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81"/>
      <c r="BS137" s="81"/>
      <c r="BT137" s="81"/>
      <c r="BU137" s="81"/>
      <c r="BV137" s="81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81"/>
      <c r="BS138" s="81"/>
      <c r="BT138" s="81"/>
      <c r="BU138" s="81"/>
      <c r="BV138" s="81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81"/>
      <c r="BS139" s="81"/>
      <c r="BT139" s="81"/>
      <c r="BU139" s="81"/>
      <c r="BV139" s="81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81"/>
      <c r="BS140" s="81"/>
      <c r="BT140" s="81"/>
      <c r="BU140" s="81"/>
      <c r="BV140" s="81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81"/>
      <c r="BS141" s="81"/>
      <c r="BT141" s="81"/>
      <c r="BU141" s="81"/>
      <c r="BV141" s="81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81"/>
      <c r="BS142" s="81"/>
      <c r="BT142" s="81"/>
      <c r="BU142" s="81"/>
      <c r="BV142" s="81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81"/>
      <c r="BS143" s="81"/>
      <c r="BT143" s="81"/>
      <c r="BU143" s="81"/>
      <c r="BV143" s="81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81"/>
      <c r="BS144" s="81"/>
      <c r="BT144" s="81"/>
      <c r="BU144" s="81"/>
      <c r="BV144" s="81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81"/>
      <c r="BS145" s="81"/>
      <c r="BT145" s="81"/>
      <c r="BU145" s="81"/>
      <c r="BV145" s="81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81"/>
      <c r="BS146" s="81"/>
      <c r="BT146" s="81"/>
      <c r="BU146" s="81"/>
      <c r="BV146" s="81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81"/>
      <c r="BS147" s="81"/>
      <c r="BT147" s="81"/>
      <c r="BU147" s="81"/>
      <c r="BV147" s="81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81"/>
      <c r="BS148" s="81"/>
      <c r="BT148" s="81"/>
      <c r="BU148" s="81"/>
      <c r="BV148" s="81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81"/>
      <c r="BS149" s="81"/>
      <c r="BT149" s="81"/>
      <c r="BU149" s="81"/>
      <c r="BV149" s="81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81"/>
      <c r="BS150" s="81"/>
      <c r="BT150" s="81"/>
      <c r="BU150" s="81"/>
      <c r="BV150" s="81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81"/>
      <c r="BS151" s="81"/>
      <c r="BT151" s="81"/>
      <c r="BU151" s="81"/>
      <c r="BV151" s="81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81"/>
      <c r="BS152" s="81"/>
      <c r="BT152" s="81"/>
      <c r="BU152" s="81"/>
      <c r="BV152" s="81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81"/>
      <c r="BS153" s="81"/>
      <c r="BT153" s="81"/>
      <c r="BU153" s="81"/>
      <c r="BV153" s="81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81"/>
      <c r="BS154" s="81"/>
      <c r="BT154" s="81"/>
      <c r="BU154" s="81"/>
      <c r="BV154" s="81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81"/>
      <c r="BS155" s="81"/>
      <c r="BT155" s="81"/>
      <c r="BU155" s="81"/>
      <c r="BV155" s="81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81"/>
      <c r="BS156" s="81"/>
      <c r="BT156" s="81"/>
      <c r="BU156" s="81"/>
      <c r="BV156" s="81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81"/>
      <c r="BS157" s="81"/>
      <c r="BT157" s="81"/>
      <c r="BU157" s="81"/>
      <c r="BV157" s="81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81"/>
      <c r="BS158" s="81"/>
      <c r="BT158" s="81"/>
      <c r="BU158" s="81"/>
      <c r="BV158" s="81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81"/>
      <c r="BS159" s="81"/>
      <c r="BT159" s="81"/>
      <c r="BU159" s="81"/>
      <c r="BV159" s="81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81"/>
      <c r="BS160" s="81"/>
      <c r="BT160" s="81"/>
      <c r="BU160" s="81"/>
      <c r="BV160" s="81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81"/>
      <c r="BS161" s="81"/>
      <c r="BT161" s="81"/>
      <c r="BU161" s="81"/>
      <c r="BV161" s="81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81"/>
      <c r="BS162" s="81"/>
      <c r="BT162" s="81"/>
      <c r="BU162" s="81"/>
      <c r="BV162" s="81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81"/>
      <c r="BS163" s="81"/>
      <c r="BT163" s="81"/>
      <c r="BU163" s="81"/>
      <c r="BV163" s="81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81"/>
      <c r="BS164" s="81"/>
      <c r="BT164" s="81"/>
      <c r="BU164" s="81"/>
      <c r="BV164" s="81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81"/>
      <c r="BS165" s="81"/>
      <c r="BT165" s="81"/>
      <c r="BU165" s="81"/>
      <c r="BV165" s="81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81"/>
      <c r="BS166" s="81"/>
      <c r="BT166" s="81"/>
      <c r="BU166" s="81"/>
      <c r="BV166" s="81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81"/>
      <c r="BS167" s="81"/>
      <c r="BT167" s="81"/>
      <c r="BU167" s="81"/>
      <c r="BV167" s="81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81"/>
      <c r="BS168" s="81"/>
      <c r="BT168" s="81"/>
      <c r="BU168" s="81"/>
      <c r="BV168" s="81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81"/>
      <c r="BS169" s="81"/>
      <c r="BT169" s="81"/>
      <c r="BU169" s="81"/>
      <c r="BV169" s="81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81"/>
      <c r="BS170" s="81"/>
      <c r="BT170" s="81"/>
      <c r="BU170" s="81"/>
      <c r="BV170" s="81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81"/>
      <c r="BS171" s="81"/>
      <c r="BT171" s="81"/>
      <c r="BU171" s="81"/>
      <c r="BV171" s="81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81"/>
      <c r="BS172" s="81"/>
      <c r="BT172" s="81"/>
      <c r="BU172" s="81"/>
      <c r="BV172" s="81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81"/>
      <c r="BS173" s="81"/>
      <c r="BT173" s="81"/>
      <c r="BU173" s="81"/>
      <c r="BV173" s="81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81"/>
      <c r="BS174" s="81"/>
      <c r="BT174" s="81"/>
      <c r="BU174" s="81"/>
      <c r="BV174" s="81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81"/>
      <c r="BS175" s="81"/>
      <c r="BT175" s="81"/>
      <c r="BU175" s="81"/>
      <c r="BV175" s="81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81"/>
      <c r="BS176" s="81"/>
      <c r="BT176" s="81"/>
      <c r="BU176" s="81"/>
      <c r="BV176" s="81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81"/>
      <c r="BS177" s="81"/>
      <c r="BT177" s="81"/>
      <c r="BU177" s="81"/>
      <c r="BV177" s="81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81"/>
      <c r="BS178" s="81"/>
      <c r="BT178" s="81"/>
      <c r="BU178" s="81"/>
      <c r="BV178" s="81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81"/>
      <c r="BS179" s="81"/>
      <c r="BT179" s="81"/>
      <c r="BU179" s="81"/>
      <c r="BV179" s="81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81"/>
      <c r="BS180" s="81"/>
      <c r="BT180" s="81"/>
      <c r="BU180" s="81"/>
      <c r="BV180" s="81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81"/>
      <c r="BS181" s="81"/>
      <c r="BT181" s="81"/>
      <c r="BU181" s="81"/>
      <c r="BV181" s="81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81"/>
      <c r="BS182" s="81"/>
      <c r="BT182" s="81"/>
      <c r="BU182" s="81"/>
      <c r="BV182" s="81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81"/>
      <c r="BS183" s="81"/>
      <c r="BT183" s="81"/>
      <c r="BU183" s="81"/>
      <c r="BV183" s="81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81"/>
      <c r="BS184" s="81"/>
      <c r="BT184" s="81"/>
      <c r="BU184" s="81"/>
      <c r="BV184" s="81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81"/>
      <c r="BS185" s="81"/>
      <c r="BT185" s="81"/>
      <c r="BU185" s="81"/>
      <c r="BV185" s="81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81"/>
      <c r="BS186" s="81"/>
      <c r="BT186" s="81"/>
      <c r="BU186" s="81"/>
      <c r="BV186" s="81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81"/>
      <c r="BS187" s="81"/>
      <c r="BT187" s="81"/>
      <c r="BU187" s="81"/>
      <c r="BV187" s="81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81"/>
      <c r="BS188" s="81"/>
      <c r="BT188" s="81"/>
      <c r="BU188" s="81"/>
      <c r="BV188" s="81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81"/>
      <c r="BS189" s="81"/>
      <c r="BT189" s="81"/>
      <c r="BU189" s="81"/>
      <c r="BV189" s="81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81"/>
      <c r="BS190" s="81"/>
      <c r="BT190" s="81"/>
      <c r="BU190" s="81"/>
      <c r="BV190" s="81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81"/>
      <c r="BS191" s="81"/>
      <c r="BT191" s="81"/>
      <c r="BU191" s="81"/>
      <c r="BV191" s="81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81"/>
      <c r="BS192" s="81"/>
      <c r="BT192" s="81"/>
      <c r="BU192" s="81"/>
      <c r="BV192" s="81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81"/>
      <c r="BS193" s="81"/>
      <c r="BT193" s="81"/>
      <c r="BU193" s="81"/>
      <c r="BV193" s="81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81"/>
      <c r="BS194" s="81"/>
      <c r="BT194" s="81"/>
      <c r="BU194" s="81"/>
      <c r="BV194" s="81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81"/>
      <c r="BS195" s="81"/>
      <c r="BT195" s="81"/>
      <c r="BU195" s="81"/>
      <c r="BV195" s="81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81"/>
      <c r="BS196" s="81"/>
      <c r="BT196" s="81"/>
      <c r="BU196" s="81"/>
      <c r="BV196" s="81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81"/>
      <c r="BS197" s="81"/>
      <c r="BT197" s="81"/>
      <c r="BU197" s="81"/>
      <c r="BV197" s="81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81"/>
      <c r="BS198" s="81"/>
      <c r="BT198" s="81"/>
      <c r="BU198" s="81"/>
      <c r="BV198" s="81"/>
      <c r="BW198" s="54"/>
      <c r="BX198" s="54"/>
      <c r="BY198" s="54"/>
      <c r="BZ198" s="54"/>
      <c r="CA198" s="54"/>
      <c r="CB198" s="54"/>
      <c r="CC198" s="54"/>
      <c r="CD198" s="54"/>
      <c r="CE198" s="54"/>
      <c r="CF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81"/>
      <c r="BS199" s="81"/>
      <c r="BT199" s="81"/>
      <c r="BU199" s="81"/>
      <c r="BV199" s="81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81"/>
      <c r="BS200" s="81"/>
      <c r="BT200" s="81"/>
      <c r="BU200" s="81"/>
      <c r="BV200" s="81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81"/>
      <c r="BS201" s="81"/>
      <c r="BT201" s="81"/>
      <c r="BU201" s="81"/>
      <c r="BV201" s="81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81"/>
      <c r="BS202" s="81"/>
      <c r="BT202" s="81"/>
      <c r="BU202" s="81"/>
      <c r="BV202" s="81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81"/>
      <c r="BS203" s="81"/>
      <c r="BT203" s="81"/>
      <c r="BU203" s="81"/>
      <c r="BV203" s="81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81"/>
      <c r="BS204" s="81"/>
      <c r="BT204" s="81"/>
      <c r="BU204" s="81"/>
      <c r="BV204" s="81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81"/>
      <c r="BS205" s="81"/>
      <c r="BT205" s="81"/>
      <c r="BU205" s="81"/>
      <c r="BV205" s="81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81"/>
      <c r="BS206" s="81"/>
      <c r="BT206" s="81"/>
      <c r="BU206" s="81"/>
      <c r="BV206" s="81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81"/>
      <c r="BS207" s="81"/>
      <c r="BT207" s="81"/>
      <c r="BU207" s="81"/>
      <c r="BV207" s="81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81"/>
      <c r="BS208" s="81"/>
      <c r="BT208" s="81"/>
      <c r="BU208" s="81"/>
      <c r="BV208" s="81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81"/>
      <c r="BS209" s="81"/>
      <c r="BT209" s="81"/>
      <c r="BU209" s="81"/>
      <c r="BV209" s="81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81"/>
      <c r="BS210" s="81"/>
      <c r="BT210" s="81"/>
      <c r="BU210" s="81"/>
      <c r="BV210" s="81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81"/>
      <c r="BS211" s="81"/>
      <c r="BT211" s="81"/>
      <c r="BU211" s="81"/>
      <c r="BV211" s="81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81"/>
      <c r="BS212" s="81"/>
      <c r="BT212" s="81"/>
      <c r="BU212" s="81"/>
      <c r="BV212" s="81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81"/>
      <c r="BS213" s="81"/>
      <c r="BT213" s="81"/>
      <c r="BU213" s="81"/>
      <c r="BV213" s="81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81"/>
      <c r="BS214" s="81"/>
      <c r="BT214" s="81"/>
      <c r="BU214" s="81"/>
      <c r="BV214" s="81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81"/>
      <c r="BS215" s="81"/>
      <c r="BT215" s="81"/>
      <c r="BU215" s="81"/>
      <c r="BV215" s="81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81"/>
      <c r="BS216" s="81"/>
      <c r="BT216" s="81"/>
      <c r="BU216" s="81"/>
      <c r="BV216" s="81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81"/>
      <c r="BS217" s="81"/>
      <c r="BT217" s="81"/>
      <c r="BU217" s="81"/>
      <c r="BV217" s="81"/>
      <c r="BW217" s="54"/>
      <c r="BX217" s="54"/>
      <c r="BY217" s="54"/>
      <c r="BZ217" s="54"/>
      <c r="CA217" s="54"/>
      <c r="CB217" s="54"/>
      <c r="CC217" s="54"/>
      <c r="CD217" s="54"/>
      <c r="CE217" s="54"/>
      <c r="CF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81"/>
      <c r="BS218" s="81"/>
      <c r="BT218" s="81"/>
      <c r="BU218" s="81"/>
      <c r="BV218" s="81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81"/>
      <c r="BS219" s="81"/>
      <c r="BT219" s="81"/>
      <c r="BU219" s="81"/>
      <c r="BV219" s="81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81"/>
      <c r="BS220" s="81"/>
      <c r="BT220" s="81"/>
      <c r="BU220" s="81"/>
      <c r="BV220" s="81"/>
      <c r="BW220" s="54"/>
      <c r="BX220" s="54"/>
      <c r="BY220" s="54"/>
      <c r="BZ220" s="54"/>
      <c r="CA220" s="54"/>
      <c r="CB220" s="54"/>
      <c r="CC220" s="54"/>
      <c r="CD220" s="54"/>
      <c r="CE220" s="54"/>
      <c r="CF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81"/>
      <c r="BS221" s="81"/>
      <c r="BT221" s="81"/>
      <c r="BU221" s="81"/>
      <c r="BV221" s="81"/>
      <c r="BW221" s="54"/>
      <c r="BX221" s="54"/>
      <c r="BY221" s="54"/>
      <c r="BZ221" s="54"/>
      <c r="CA221" s="54"/>
      <c r="CB221" s="54"/>
      <c r="CC221" s="54"/>
      <c r="CD221" s="54"/>
      <c r="CE221" s="54"/>
      <c r="CF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81"/>
      <c r="BS222" s="81"/>
      <c r="BT222" s="81"/>
      <c r="BU222" s="81"/>
      <c r="BV222" s="81"/>
      <c r="BW222" s="54"/>
      <c r="BX222" s="54"/>
      <c r="BY222" s="54"/>
      <c r="BZ222" s="54"/>
      <c r="CA222" s="54"/>
      <c r="CB222" s="54"/>
      <c r="CC222" s="54"/>
      <c r="CD222" s="54"/>
      <c r="CE222" s="54"/>
      <c r="CF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81"/>
      <c r="BS223" s="81"/>
      <c r="BT223" s="81"/>
      <c r="BU223" s="81"/>
      <c r="BV223" s="81"/>
      <c r="BW223" s="54"/>
      <c r="BX223" s="54"/>
      <c r="BY223" s="54"/>
      <c r="BZ223" s="54"/>
      <c r="CA223" s="54"/>
      <c r="CB223" s="54"/>
      <c r="CC223" s="54"/>
      <c r="CD223" s="54"/>
      <c r="CE223" s="54"/>
      <c r="CF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81"/>
      <c r="BS224" s="81"/>
      <c r="BT224" s="81"/>
      <c r="BU224" s="81"/>
      <c r="BV224" s="81"/>
      <c r="BW224" s="54"/>
      <c r="BX224" s="54"/>
      <c r="BY224" s="54"/>
      <c r="BZ224" s="54"/>
      <c r="CA224" s="54"/>
      <c r="CB224" s="54"/>
      <c r="CC224" s="54"/>
      <c r="CD224" s="54"/>
      <c r="CE224" s="54"/>
      <c r="CF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81"/>
      <c r="BS225" s="81"/>
      <c r="BT225" s="81"/>
      <c r="BU225" s="81"/>
      <c r="BV225" s="81"/>
      <c r="BW225" s="54"/>
      <c r="BX225" s="54"/>
      <c r="BY225" s="54"/>
      <c r="BZ225" s="54"/>
      <c r="CA225" s="54"/>
      <c r="CB225" s="54"/>
      <c r="CC225" s="54"/>
      <c r="CD225" s="54"/>
      <c r="CE225" s="54"/>
      <c r="CF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81"/>
      <c r="BS226" s="81"/>
      <c r="BT226" s="81"/>
      <c r="BU226" s="81"/>
      <c r="BV226" s="81"/>
      <c r="BW226" s="54"/>
      <c r="BX226" s="54"/>
      <c r="BY226" s="54"/>
      <c r="BZ226" s="54"/>
      <c r="CA226" s="54"/>
      <c r="CB226" s="54"/>
      <c r="CC226" s="54"/>
      <c r="CD226" s="54"/>
      <c r="CE226" s="54"/>
      <c r="CF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81"/>
      <c r="BS227" s="81"/>
      <c r="BT227" s="81"/>
      <c r="BU227" s="81"/>
      <c r="BV227" s="81"/>
      <c r="BW227" s="54"/>
      <c r="BX227" s="54"/>
      <c r="BY227" s="54"/>
      <c r="BZ227" s="54"/>
      <c r="CA227" s="54"/>
      <c r="CB227" s="54"/>
      <c r="CC227" s="54"/>
      <c r="CD227" s="54"/>
      <c r="CE227" s="54"/>
      <c r="CF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81"/>
      <c r="BS228" s="81"/>
      <c r="BT228" s="81"/>
      <c r="BU228" s="81"/>
      <c r="BV228" s="81"/>
      <c r="BW228" s="54"/>
      <c r="BX228" s="54"/>
      <c r="BY228" s="54"/>
      <c r="BZ228" s="54"/>
      <c r="CA228" s="54"/>
      <c r="CB228" s="54"/>
      <c r="CC228" s="54"/>
      <c r="CD228" s="54"/>
      <c r="CE228" s="54"/>
      <c r="CF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81"/>
      <c r="BS229" s="81"/>
      <c r="BT229" s="81"/>
      <c r="BU229" s="81"/>
      <c r="BV229" s="81"/>
      <c r="BW229" s="54"/>
      <c r="BX229" s="54"/>
      <c r="BY229" s="54"/>
      <c r="BZ229" s="54"/>
      <c r="CA229" s="54"/>
      <c r="CB229" s="54"/>
      <c r="CC229" s="54"/>
      <c r="CD229" s="54"/>
      <c r="CE229" s="54"/>
      <c r="CF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81"/>
      <c r="BS230" s="81"/>
      <c r="BT230" s="81"/>
      <c r="BU230" s="81"/>
      <c r="BV230" s="81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81"/>
      <c r="BS231" s="81"/>
      <c r="BT231" s="81"/>
      <c r="BU231" s="81"/>
      <c r="BV231" s="81"/>
      <c r="BW231" s="54"/>
      <c r="BX231" s="54"/>
      <c r="BY231" s="54"/>
      <c r="BZ231" s="54"/>
      <c r="CA231" s="54"/>
      <c r="CB231" s="54"/>
      <c r="CC231" s="54"/>
      <c r="CD231" s="54"/>
      <c r="CE231" s="54"/>
      <c r="CF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81"/>
      <c r="BS232" s="81"/>
      <c r="BT232" s="81"/>
      <c r="BU232" s="81"/>
      <c r="BV232" s="81"/>
      <c r="BW232" s="54"/>
      <c r="BX232" s="54"/>
      <c r="BY232" s="54"/>
      <c r="BZ232" s="54"/>
      <c r="CA232" s="54"/>
      <c r="CB232" s="54"/>
      <c r="CC232" s="54"/>
      <c r="CD232" s="54"/>
      <c r="CE232" s="54"/>
      <c r="CF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81"/>
      <c r="BS233" s="81"/>
      <c r="BT233" s="81"/>
      <c r="BU233" s="81"/>
      <c r="BV233" s="81"/>
      <c r="BW233" s="54"/>
      <c r="BX233" s="54"/>
      <c r="BY233" s="54"/>
      <c r="BZ233" s="54"/>
      <c r="CA233" s="54"/>
      <c r="CB233" s="54"/>
      <c r="CC233" s="54"/>
      <c r="CD233" s="54"/>
      <c r="CE233" s="54"/>
      <c r="CF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81"/>
      <c r="BS234" s="81"/>
      <c r="BT234" s="81"/>
      <c r="BU234" s="81"/>
      <c r="BV234" s="81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81"/>
      <c r="BS235" s="81"/>
      <c r="BT235" s="81"/>
      <c r="BU235" s="81"/>
      <c r="BV235" s="81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  <c r="BR236" s="81"/>
      <c r="BS236" s="81"/>
      <c r="BT236" s="81"/>
      <c r="BU236" s="81"/>
      <c r="BV236" s="81"/>
      <c r="BW236" s="54"/>
      <c r="BX236" s="54"/>
      <c r="BY236" s="54"/>
      <c r="BZ236" s="54"/>
      <c r="CA236" s="54"/>
      <c r="CB236" s="54"/>
      <c r="CC236" s="54"/>
      <c r="CD236" s="54"/>
      <c r="CE236" s="54"/>
      <c r="CF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81"/>
      <c r="BS237" s="81"/>
      <c r="BT237" s="81"/>
      <c r="BU237" s="81"/>
      <c r="BV237" s="81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81"/>
      <c r="BS238" s="81"/>
      <c r="BT238" s="81"/>
      <c r="BU238" s="81"/>
      <c r="BV238" s="81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81"/>
      <c r="BS239" s="81"/>
      <c r="BT239" s="81"/>
      <c r="BU239" s="81"/>
      <c r="BV239" s="81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81"/>
      <c r="BS240" s="81"/>
      <c r="BT240" s="81"/>
      <c r="BU240" s="81"/>
      <c r="BV240" s="81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81"/>
      <c r="BS241" s="81"/>
      <c r="BT241" s="81"/>
      <c r="BU241" s="81"/>
      <c r="BV241" s="81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81"/>
      <c r="BS242" s="81"/>
      <c r="BT242" s="81"/>
      <c r="BU242" s="81"/>
      <c r="BV242" s="81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81"/>
      <c r="BS243" s="81"/>
      <c r="BT243" s="81"/>
      <c r="BU243" s="81"/>
      <c r="BV243" s="81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81"/>
      <c r="BS244" s="81"/>
      <c r="BT244" s="81"/>
      <c r="BU244" s="81"/>
      <c r="BV244" s="81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81"/>
      <c r="BS245" s="81"/>
      <c r="BT245" s="81"/>
      <c r="BU245" s="81"/>
      <c r="BV245" s="81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81"/>
      <c r="BS246" s="81"/>
      <c r="BT246" s="81"/>
      <c r="BU246" s="81"/>
      <c r="BV246" s="81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81"/>
      <c r="BS247" s="81"/>
      <c r="BT247" s="81"/>
      <c r="BU247" s="81"/>
      <c r="BV247" s="81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81"/>
      <c r="BS248" s="81"/>
      <c r="BT248" s="81"/>
      <c r="BU248" s="81"/>
      <c r="BV248" s="81"/>
      <c r="BW248" s="54"/>
      <c r="BX248" s="54"/>
      <c r="BY248" s="54"/>
      <c r="BZ248" s="54"/>
      <c r="CA248" s="54"/>
      <c r="CB248" s="54"/>
      <c r="CC248" s="54"/>
      <c r="CD248" s="54"/>
      <c r="CE248" s="54"/>
      <c r="CF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81"/>
      <c r="BS249" s="81"/>
      <c r="BT249" s="81"/>
      <c r="BU249" s="81"/>
      <c r="BV249" s="81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81"/>
      <c r="BS250" s="81"/>
      <c r="BT250" s="81"/>
      <c r="BU250" s="81"/>
      <c r="BV250" s="81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81"/>
      <c r="BS251" s="81"/>
      <c r="BT251" s="81"/>
      <c r="BU251" s="81"/>
      <c r="BV251" s="81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81"/>
      <c r="BS252" s="81"/>
      <c r="BT252" s="81"/>
      <c r="BU252" s="81"/>
      <c r="BV252" s="81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81"/>
      <c r="BS253" s="81"/>
      <c r="BT253" s="81"/>
      <c r="BU253" s="81"/>
      <c r="BV253" s="81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81"/>
      <c r="BS254" s="81"/>
      <c r="BT254" s="81"/>
      <c r="BU254" s="81"/>
      <c r="BV254" s="81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81"/>
      <c r="BS255" s="81"/>
      <c r="BT255" s="81"/>
      <c r="BU255" s="81"/>
      <c r="BV255" s="81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81"/>
      <c r="BS256" s="81"/>
      <c r="BT256" s="81"/>
      <c r="BU256" s="81"/>
      <c r="BV256" s="81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81"/>
      <c r="BS257" s="81"/>
      <c r="BT257" s="81"/>
      <c r="BU257" s="81"/>
      <c r="BV257" s="81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81"/>
      <c r="BS258" s="81"/>
      <c r="BT258" s="81"/>
      <c r="BU258" s="81"/>
      <c r="BV258" s="81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81"/>
      <c r="BS259" s="81"/>
      <c r="BT259" s="81"/>
      <c r="BU259" s="81"/>
      <c r="BV259" s="81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81"/>
      <c r="BS260" s="81"/>
      <c r="BT260" s="81"/>
      <c r="BU260" s="81"/>
      <c r="BV260" s="81"/>
      <c r="BW260" s="54"/>
      <c r="BX260" s="54"/>
      <c r="BY260" s="54"/>
      <c r="BZ260" s="54"/>
      <c r="CA260" s="54"/>
      <c r="CB260" s="54"/>
      <c r="CC260" s="54"/>
      <c r="CD260" s="54"/>
      <c r="CE260" s="54"/>
      <c r="CF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81"/>
      <c r="BS261" s="81"/>
      <c r="BT261" s="81"/>
      <c r="BU261" s="81"/>
      <c r="BV261" s="81"/>
      <c r="BW261" s="54"/>
      <c r="BX261" s="54"/>
      <c r="BY261" s="54"/>
      <c r="BZ261" s="54"/>
      <c r="CA261" s="54"/>
      <c r="CB261" s="54"/>
      <c r="CC261" s="54"/>
      <c r="CD261" s="54"/>
      <c r="CE261" s="54"/>
      <c r="CF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81"/>
      <c r="BS262" s="81"/>
      <c r="BT262" s="81"/>
      <c r="BU262" s="81"/>
      <c r="BV262" s="81"/>
      <c r="BW262" s="54"/>
      <c r="BX262" s="54"/>
      <c r="BY262" s="54"/>
      <c r="BZ262" s="54"/>
      <c r="CA262" s="54"/>
      <c r="CB262" s="54"/>
      <c r="CC262" s="54"/>
      <c r="CD262" s="54"/>
      <c r="CE262" s="54"/>
      <c r="CF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81"/>
      <c r="BS263" s="81"/>
      <c r="BT263" s="81"/>
      <c r="BU263" s="81"/>
      <c r="BV263" s="81"/>
      <c r="BW263" s="54"/>
      <c r="BX263" s="54"/>
      <c r="BY263" s="54"/>
      <c r="BZ263" s="54"/>
      <c r="CA263" s="54"/>
      <c r="CB263" s="54"/>
      <c r="CC263" s="54"/>
      <c r="CD263" s="54"/>
      <c r="CE263" s="54"/>
      <c r="CF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  <c r="BR264" s="81"/>
      <c r="BS264" s="81"/>
      <c r="BT264" s="81"/>
      <c r="BU264" s="81"/>
      <c r="BV264" s="81"/>
      <c r="BW264" s="54"/>
      <c r="BX264" s="54"/>
      <c r="BY264" s="54"/>
      <c r="BZ264" s="54"/>
      <c r="CA264" s="54"/>
      <c r="CB264" s="54"/>
      <c r="CC264" s="54"/>
      <c r="CD264" s="54"/>
      <c r="CE264" s="54"/>
      <c r="CF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81"/>
      <c r="BS265" s="81"/>
      <c r="BT265" s="81"/>
      <c r="BU265" s="81"/>
      <c r="BV265" s="81"/>
      <c r="BW265" s="54"/>
      <c r="BX265" s="54"/>
      <c r="BY265" s="54"/>
      <c r="BZ265" s="54"/>
      <c r="CA265" s="54"/>
      <c r="CB265" s="54"/>
      <c r="CC265" s="54"/>
      <c r="CD265" s="54"/>
      <c r="CE265" s="54"/>
      <c r="CF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81"/>
      <c r="BS266" s="81"/>
      <c r="BT266" s="81"/>
      <c r="BU266" s="81"/>
      <c r="BV266" s="81"/>
      <c r="BW266" s="54"/>
      <c r="BX266" s="54"/>
      <c r="BY266" s="54"/>
      <c r="BZ266" s="54"/>
      <c r="CA266" s="54"/>
      <c r="CB266" s="54"/>
      <c r="CC266" s="54"/>
      <c r="CD266" s="54"/>
      <c r="CE266" s="54"/>
      <c r="CF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  <c r="BR267" s="81"/>
      <c r="BS267" s="81"/>
      <c r="BT267" s="81"/>
      <c r="BU267" s="81"/>
      <c r="BV267" s="81"/>
      <c r="BW267" s="54"/>
      <c r="BX267" s="54"/>
      <c r="BY267" s="54"/>
      <c r="BZ267" s="54"/>
      <c r="CA267" s="54"/>
      <c r="CB267" s="54"/>
      <c r="CC267" s="54"/>
      <c r="CD267" s="54"/>
      <c r="CE267" s="54"/>
      <c r="CF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81"/>
      <c r="BS268" s="81"/>
      <c r="BT268" s="81"/>
      <c r="BU268" s="81"/>
      <c r="BV268" s="81"/>
      <c r="BW268" s="54"/>
      <c r="BX268" s="54"/>
      <c r="BY268" s="54"/>
      <c r="BZ268" s="54"/>
      <c r="CA268" s="54"/>
      <c r="CB268" s="54"/>
      <c r="CC268" s="54"/>
      <c r="CD268" s="54"/>
      <c r="CE268" s="54"/>
      <c r="CF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81"/>
      <c r="BS269" s="81"/>
      <c r="BT269" s="81"/>
      <c r="BU269" s="81"/>
      <c r="BV269" s="81"/>
      <c r="BW269" s="54"/>
      <c r="BX269" s="54"/>
      <c r="BY269" s="54"/>
      <c r="BZ269" s="54"/>
      <c r="CA269" s="54"/>
      <c r="CB269" s="54"/>
      <c r="CC269" s="54"/>
      <c r="CD269" s="54"/>
      <c r="CE269" s="54"/>
      <c r="CF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  <c r="BR270" s="81"/>
      <c r="BS270" s="81"/>
      <c r="BT270" s="81"/>
      <c r="BU270" s="81"/>
      <c r="BV270" s="81"/>
      <c r="BW270" s="54"/>
      <c r="BX270" s="54"/>
      <c r="BY270" s="54"/>
      <c r="BZ270" s="54"/>
      <c r="CA270" s="54"/>
      <c r="CB270" s="54"/>
      <c r="CC270" s="54"/>
      <c r="CD270" s="54"/>
      <c r="CE270" s="54"/>
      <c r="CF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  <c r="BR271" s="81"/>
      <c r="BS271" s="81"/>
      <c r="BT271" s="81"/>
      <c r="BU271" s="81"/>
      <c r="BV271" s="81"/>
      <c r="BW271" s="54"/>
      <c r="BX271" s="54"/>
      <c r="BY271" s="54"/>
      <c r="BZ271" s="54"/>
      <c r="CA271" s="54"/>
      <c r="CB271" s="54"/>
      <c r="CC271" s="54"/>
      <c r="CD271" s="54"/>
      <c r="CE271" s="54"/>
      <c r="CF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81"/>
      <c r="BS272" s="81"/>
      <c r="BT272" s="81"/>
      <c r="BU272" s="81"/>
      <c r="BV272" s="81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  <c r="BR273" s="81"/>
      <c r="BS273" s="81"/>
      <c r="BT273" s="81"/>
      <c r="BU273" s="81"/>
      <c r="BV273" s="81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  <c r="BR274" s="81"/>
      <c r="BS274" s="81"/>
      <c r="BT274" s="81"/>
      <c r="BU274" s="81"/>
      <c r="BV274" s="81"/>
      <c r="BW274" s="54"/>
      <c r="BX274" s="54"/>
      <c r="BY274" s="54"/>
      <c r="BZ274" s="54"/>
      <c r="CA274" s="54"/>
      <c r="CB274" s="54"/>
      <c r="CC274" s="54"/>
      <c r="CD274" s="54"/>
      <c r="CE274" s="54"/>
      <c r="CF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81"/>
      <c r="BS275" s="81"/>
      <c r="BT275" s="81"/>
      <c r="BU275" s="81"/>
      <c r="BV275" s="81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81"/>
      <c r="BS276" s="81"/>
      <c r="BT276" s="81"/>
      <c r="BU276" s="81"/>
      <c r="BV276" s="81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81"/>
      <c r="BS277" s="81"/>
      <c r="BT277" s="81"/>
      <c r="BU277" s="81"/>
      <c r="BV277" s="81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81"/>
      <c r="BS278" s="81"/>
      <c r="BT278" s="81"/>
      <c r="BU278" s="81"/>
      <c r="BV278" s="81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81"/>
      <c r="BS279" s="81"/>
      <c r="BT279" s="81"/>
      <c r="BU279" s="81"/>
      <c r="BV279" s="81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81"/>
      <c r="BS280" s="81"/>
      <c r="BT280" s="81"/>
      <c r="BU280" s="81"/>
      <c r="BV280" s="81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81"/>
      <c r="BS281" s="81"/>
      <c r="BT281" s="81"/>
      <c r="BU281" s="81"/>
      <c r="BV281" s="81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81"/>
      <c r="BS282" s="81"/>
      <c r="BT282" s="81"/>
      <c r="BU282" s="81"/>
      <c r="BV282" s="81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81"/>
      <c r="BS283" s="81"/>
      <c r="BT283" s="81"/>
      <c r="BU283" s="81"/>
      <c r="BV283" s="81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81"/>
      <c r="BS284" s="81"/>
      <c r="BT284" s="81"/>
      <c r="BU284" s="81"/>
      <c r="BV284" s="81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81"/>
      <c r="BS285" s="81"/>
      <c r="BT285" s="81"/>
      <c r="BU285" s="81"/>
      <c r="BV285" s="81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81"/>
      <c r="BS286" s="81"/>
      <c r="BT286" s="81"/>
      <c r="BU286" s="81"/>
      <c r="BV286" s="81"/>
      <c r="BW286" s="54"/>
      <c r="BX286" s="54"/>
      <c r="BY286" s="54"/>
      <c r="BZ286" s="54"/>
      <c r="CA286" s="54"/>
      <c r="CB286" s="54"/>
      <c r="CC286" s="54"/>
      <c r="CD286" s="54"/>
      <c r="CE286" s="54"/>
      <c r="CF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81"/>
      <c r="BS287" s="81"/>
      <c r="BT287" s="81"/>
      <c r="BU287" s="81"/>
      <c r="BV287" s="81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81"/>
      <c r="BS288" s="81"/>
      <c r="BT288" s="81"/>
      <c r="BU288" s="81"/>
      <c r="BV288" s="81"/>
      <c r="BW288" s="54"/>
      <c r="BX288" s="54"/>
      <c r="BY288" s="54"/>
      <c r="BZ288" s="54"/>
      <c r="CA288" s="54"/>
      <c r="CB288" s="54"/>
      <c r="CC288" s="54"/>
      <c r="CD288" s="54"/>
      <c r="CE288" s="54"/>
      <c r="CF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81"/>
      <c r="BS289" s="81"/>
      <c r="BT289" s="81"/>
      <c r="BU289" s="81"/>
      <c r="BV289" s="81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81"/>
      <c r="BS290" s="81"/>
      <c r="BT290" s="81"/>
      <c r="BU290" s="81"/>
      <c r="BV290" s="81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81"/>
      <c r="BS291" s="81"/>
      <c r="BT291" s="81"/>
      <c r="BU291" s="81"/>
      <c r="BV291" s="81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81"/>
      <c r="BS292" s="81"/>
      <c r="BT292" s="81"/>
      <c r="BU292" s="81"/>
      <c r="BV292" s="81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81"/>
      <c r="BS293" s="81"/>
      <c r="BT293" s="81"/>
      <c r="BU293" s="81"/>
      <c r="BV293" s="81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81"/>
      <c r="BS294" s="81"/>
      <c r="BT294" s="81"/>
      <c r="BU294" s="81"/>
      <c r="BV294" s="81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81"/>
      <c r="BS295" s="81"/>
      <c r="BT295" s="81"/>
      <c r="BU295" s="81"/>
      <c r="BV295" s="81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81"/>
      <c r="BS296" s="81"/>
      <c r="BT296" s="81"/>
      <c r="BU296" s="81"/>
      <c r="BV296" s="81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81"/>
      <c r="BS297" s="81"/>
      <c r="BT297" s="81"/>
      <c r="BU297" s="81"/>
      <c r="BV297" s="81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81"/>
      <c r="BS298" s="81"/>
      <c r="BT298" s="81"/>
      <c r="BU298" s="81"/>
      <c r="BV298" s="81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81"/>
      <c r="BS299" s="81"/>
      <c r="BT299" s="81"/>
      <c r="BU299" s="81"/>
      <c r="BV299" s="81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81"/>
      <c r="BS300" s="81"/>
      <c r="BT300" s="81"/>
      <c r="BU300" s="81"/>
      <c r="BV300" s="81"/>
      <c r="BW300" s="54"/>
      <c r="BX300" s="54"/>
      <c r="BY300" s="54"/>
      <c r="BZ300" s="54"/>
      <c r="CA300" s="54"/>
      <c r="CB300" s="54"/>
      <c r="CC300" s="54"/>
      <c r="CD300" s="54"/>
      <c r="CE300" s="54"/>
      <c r="CF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  <c r="BR301" s="81"/>
      <c r="BS301" s="81"/>
      <c r="BT301" s="81"/>
      <c r="BU301" s="81"/>
      <c r="BV301" s="81"/>
      <c r="BW301" s="54"/>
      <c r="BX301" s="54"/>
      <c r="BY301" s="54"/>
      <c r="BZ301" s="54"/>
      <c r="CA301" s="54"/>
      <c r="CB301" s="54"/>
      <c r="CC301" s="54"/>
      <c r="CD301" s="54"/>
      <c r="CE301" s="54"/>
      <c r="CF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81"/>
      <c r="BS302" s="81"/>
      <c r="BT302" s="81"/>
      <c r="BU302" s="81"/>
      <c r="BV302" s="81"/>
      <c r="BW302" s="54"/>
      <c r="BX302" s="54"/>
      <c r="BY302" s="54"/>
      <c r="BZ302" s="54"/>
      <c r="CA302" s="54"/>
      <c r="CB302" s="54"/>
      <c r="CC302" s="54"/>
      <c r="CD302" s="54"/>
      <c r="CE302" s="54"/>
      <c r="CF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81"/>
      <c r="BS303" s="81"/>
      <c r="BT303" s="81"/>
      <c r="BU303" s="81"/>
      <c r="BV303" s="81"/>
      <c r="BW303" s="54"/>
      <c r="BX303" s="54"/>
      <c r="BY303" s="54"/>
      <c r="BZ303" s="54"/>
      <c r="CA303" s="54"/>
      <c r="CB303" s="54"/>
      <c r="CC303" s="54"/>
      <c r="CD303" s="54"/>
      <c r="CE303" s="54"/>
      <c r="CF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81"/>
      <c r="BS304" s="81"/>
      <c r="BT304" s="81"/>
      <c r="BU304" s="81"/>
      <c r="BV304" s="81"/>
      <c r="BW304" s="54"/>
      <c r="BX304" s="54"/>
      <c r="BY304" s="54"/>
      <c r="BZ304" s="54"/>
      <c r="CA304" s="54"/>
      <c r="CB304" s="54"/>
      <c r="CC304" s="54"/>
      <c r="CD304" s="54"/>
      <c r="CE304" s="54"/>
      <c r="CF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81"/>
      <c r="BS305" s="81"/>
      <c r="BT305" s="81"/>
      <c r="BU305" s="81"/>
      <c r="BV305" s="81"/>
      <c r="BW305" s="54"/>
      <c r="BX305" s="54"/>
      <c r="BY305" s="54"/>
      <c r="BZ305" s="54"/>
      <c r="CA305" s="54"/>
      <c r="CB305" s="54"/>
      <c r="CC305" s="54"/>
      <c r="CD305" s="54"/>
      <c r="CE305" s="54"/>
      <c r="CF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  <c r="BR306" s="81"/>
      <c r="BS306" s="81"/>
      <c r="BT306" s="81"/>
      <c r="BU306" s="81"/>
      <c r="BV306" s="81"/>
      <c r="BW306" s="54"/>
      <c r="BX306" s="54"/>
      <c r="BY306" s="54"/>
      <c r="BZ306" s="54"/>
      <c r="CA306" s="54"/>
      <c r="CB306" s="54"/>
      <c r="CC306" s="54"/>
      <c r="CD306" s="54"/>
      <c r="CE306" s="54"/>
      <c r="CF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81"/>
      <c r="BS307" s="81"/>
      <c r="BT307" s="81"/>
      <c r="BU307" s="81"/>
      <c r="BV307" s="81"/>
      <c r="BW307" s="54"/>
      <c r="BX307" s="54"/>
      <c r="BY307" s="54"/>
      <c r="BZ307" s="54"/>
      <c r="CA307" s="54"/>
      <c r="CB307" s="54"/>
      <c r="CC307" s="54"/>
      <c r="CD307" s="54"/>
      <c r="CE307" s="54"/>
      <c r="CF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81"/>
      <c r="BS308" s="81"/>
      <c r="BT308" s="81"/>
      <c r="BU308" s="81"/>
      <c r="BV308" s="81"/>
      <c r="BW308" s="54"/>
      <c r="BX308" s="54"/>
      <c r="BY308" s="54"/>
      <c r="BZ308" s="54"/>
      <c r="CA308" s="54"/>
      <c r="CB308" s="54"/>
      <c r="CC308" s="54"/>
      <c r="CD308" s="54"/>
      <c r="CE308" s="54"/>
      <c r="CF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  <c r="BR309" s="81"/>
      <c r="BS309" s="81"/>
      <c r="BT309" s="81"/>
      <c r="BU309" s="81"/>
      <c r="BV309" s="81"/>
      <c r="BW309" s="54"/>
      <c r="BX309" s="54"/>
      <c r="BY309" s="54"/>
      <c r="BZ309" s="54"/>
      <c r="CA309" s="54"/>
      <c r="CB309" s="54"/>
      <c r="CC309" s="54"/>
      <c r="CD309" s="54"/>
      <c r="CE309" s="54"/>
      <c r="CF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81"/>
      <c r="BS310" s="81"/>
      <c r="BT310" s="81"/>
      <c r="BU310" s="81"/>
      <c r="BV310" s="81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81"/>
      <c r="BS311" s="81"/>
      <c r="BT311" s="81"/>
      <c r="BU311" s="81"/>
      <c r="BV311" s="81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  <c r="BR312" s="81"/>
      <c r="BS312" s="81"/>
      <c r="BT312" s="81"/>
      <c r="BU312" s="81"/>
      <c r="BV312" s="81"/>
      <c r="BW312" s="54"/>
      <c r="BX312" s="54"/>
      <c r="BY312" s="54"/>
      <c r="BZ312" s="54"/>
      <c r="CA312" s="54"/>
      <c r="CB312" s="54"/>
      <c r="CC312" s="54"/>
      <c r="CD312" s="54"/>
      <c r="CE312" s="54"/>
      <c r="CF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  <c r="BR313" s="81"/>
      <c r="BS313" s="81"/>
      <c r="BT313" s="81"/>
      <c r="BU313" s="81"/>
      <c r="BV313" s="81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81"/>
      <c r="BS314" s="81"/>
      <c r="BT314" s="81"/>
      <c r="BU314" s="81"/>
      <c r="BV314" s="81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81"/>
      <c r="BS315" s="81"/>
      <c r="BT315" s="81"/>
      <c r="BU315" s="81"/>
      <c r="BV315" s="81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81"/>
      <c r="BS316" s="81"/>
      <c r="BT316" s="81"/>
      <c r="BU316" s="81"/>
      <c r="BV316" s="81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81"/>
      <c r="BS317" s="81"/>
      <c r="BT317" s="81"/>
      <c r="BU317" s="81"/>
      <c r="BV317" s="81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81"/>
      <c r="BS318" s="81"/>
      <c r="BT318" s="81"/>
      <c r="BU318" s="81"/>
      <c r="BV318" s="81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81"/>
      <c r="BS319" s="81"/>
      <c r="BT319" s="81"/>
      <c r="BU319" s="81"/>
      <c r="BV319" s="81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81"/>
      <c r="BS320" s="81"/>
      <c r="BT320" s="81"/>
      <c r="BU320" s="81"/>
      <c r="BV320" s="81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81"/>
      <c r="BS321" s="81"/>
      <c r="BT321" s="81"/>
      <c r="BU321" s="81"/>
      <c r="BV321" s="81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81"/>
      <c r="BS322" s="81"/>
      <c r="BT322" s="81"/>
      <c r="BU322" s="81"/>
      <c r="BV322" s="81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81"/>
      <c r="BS323" s="81"/>
      <c r="BT323" s="81"/>
      <c r="BU323" s="81"/>
      <c r="BV323" s="81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81"/>
      <c r="BS324" s="81"/>
      <c r="BT324" s="81"/>
      <c r="BU324" s="81"/>
      <c r="BV324" s="81"/>
      <c r="BW324" s="54"/>
      <c r="BX324" s="54"/>
      <c r="BY324" s="54"/>
      <c r="BZ324" s="54"/>
      <c r="CA324" s="54"/>
      <c r="CB324" s="54"/>
      <c r="CC324" s="54"/>
      <c r="CD324" s="54"/>
      <c r="CE324" s="54"/>
      <c r="CF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81"/>
      <c r="BS325" s="81"/>
      <c r="BT325" s="81"/>
      <c r="BU325" s="81"/>
      <c r="BV325" s="81"/>
      <c r="BW325" s="54"/>
      <c r="BX325" s="54"/>
      <c r="BY325" s="54"/>
      <c r="BZ325" s="54"/>
      <c r="CA325" s="54"/>
      <c r="CB325" s="54"/>
      <c r="CC325" s="54"/>
      <c r="CD325" s="54"/>
      <c r="CE325" s="54"/>
      <c r="CF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81"/>
      <c r="BS326" s="81"/>
      <c r="BT326" s="81"/>
      <c r="BU326" s="81"/>
      <c r="BV326" s="81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  <c r="BR327" s="81"/>
      <c r="BS327" s="81"/>
      <c r="BT327" s="81"/>
      <c r="BU327" s="81"/>
      <c r="BV327" s="81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81"/>
      <c r="BS328" s="81"/>
      <c r="BT328" s="81"/>
      <c r="BU328" s="81"/>
      <c r="BV328" s="81"/>
      <c r="BW328" s="54"/>
      <c r="BX328" s="54"/>
      <c r="BY328" s="54"/>
      <c r="BZ328" s="54"/>
      <c r="CA328" s="54"/>
      <c r="CB328" s="54"/>
      <c r="CC328" s="54"/>
      <c r="CD328" s="54"/>
      <c r="CE328" s="54"/>
      <c r="CF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  <c r="BR329" s="81"/>
      <c r="BS329" s="81"/>
      <c r="BT329" s="81"/>
      <c r="BU329" s="81"/>
      <c r="BV329" s="81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81"/>
      <c r="BS330" s="81"/>
      <c r="BT330" s="81"/>
      <c r="BU330" s="81"/>
      <c r="BV330" s="81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81"/>
      <c r="BS331" s="81"/>
      <c r="BT331" s="81"/>
      <c r="BU331" s="81"/>
      <c r="BV331" s="81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81"/>
      <c r="BS332" s="81"/>
      <c r="BT332" s="81"/>
      <c r="BU332" s="81"/>
      <c r="BV332" s="81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81"/>
      <c r="BS333" s="81"/>
      <c r="BT333" s="81"/>
      <c r="BU333" s="81"/>
      <c r="BV333" s="81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81"/>
      <c r="BS334" s="81"/>
      <c r="BT334" s="81"/>
      <c r="BU334" s="81"/>
      <c r="BV334" s="81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81"/>
      <c r="BS335" s="81"/>
      <c r="BT335" s="81"/>
      <c r="BU335" s="81"/>
      <c r="BV335" s="81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81"/>
      <c r="BS336" s="81"/>
      <c r="BT336" s="81"/>
      <c r="BU336" s="81"/>
      <c r="BV336" s="81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81"/>
      <c r="BS337" s="81"/>
      <c r="BT337" s="81"/>
      <c r="BU337" s="81"/>
      <c r="BV337" s="81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81"/>
      <c r="BS338" s="81"/>
      <c r="BT338" s="81"/>
      <c r="BU338" s="81"/>
      <c r="BV338" s="81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81"/>
      <c r="BS339" s="81"/>
      <c r="BT339" s="81"/>
      <c r="BU339" s="81"/>
      <c r="BV339" s="81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  <c r="BR340" s="81"/>
      <c r="BS340" s="81"/>
      <c r="BT340" s="81"/>
      <c r="BU340" s="81"/>
      <c r="BV340" s="81"/>
      <c r="BW340" s="54"/>
      <c r="BX340" s="54"/>
      <c r="BY340" s="54"/>
      <c r="BZ340" s="54"/>
      <c r="CA340" s="54"/>
      <c r="CB340" s="54"/>
      <c r="CC340" s="54"/>
      <c r="CD340" s="54"/>
      <c r="CE340" s="54"/>
      <c r="CF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81"/>
      <c r="BS341" s="81"/>
      <c r="BT341" s="81"/>
      <c r="BU341" s="81"/>
      <c r="BV341" s="81"/>
      <c r="BW341" s="54"/>
      <c r="BX341" s="54"/>
      <c r="BY341" s="54"/>
      <c r="BZ341" s="54"/>
      <c r="CA341" s="54"/>
      <c r="CB341" s="54"/>
      <c r="CC341" s="54"/>
      <c r="CD341" s="54"/>
      <c r="CE341" s="54"/>
      <c r="CF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81"/>
      <c r="BS342" s="81"/>
      <c r="BT342" s="81"/>
      <c r="BU342" s="81"/>
      <c r="BV342" s="81"/>
      <c r="BW342" s="54"/>
      <c r="BX342" s="54"/>
      <c r="BY342" s="54"/>
      <c r="BZ342" s="54"/>
      <c r="CA342" s="54"/>
      <c r="CB342" s="54"/>
      <c r="CC342" s="54"/>
      <c r="CD342" s="54"/>
      <c r="CE342" s="54"/>
      <c r="CF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  <c r="BR343" s="81"/>
      <c r="BS343" s="81"/>
      <c r="BT343" s="81"/>
      <c r="BU343" s="81"/>
      <c r="BV343" s="81"/>
      <c r="BW343" s="54"/>
      <c r="BX343" s="54"/>
      <c r="BY343" s="54"/>
      <c r="BZ343" s="54"/>
      <c r="CA343" s="54"/>
      <c r="CB343" s="54"/>
      <c r="CC343" s="54"/>
      <c r="CD343" s="54"/>
      <c r="CE343" s="54"/>
      <c r="CF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  <c r="BR344" s="81"/>
      <c r="BS344" s="81"/>
      <c r="BT344" s="81"/>
      <c r="BU344" s="81"/>
      <c r="BV344" s="81"/>
      <c r="BW344" s="54"/>
      <c r="BX344" s="54"/>
      <c r="BY344" s="54"/>
      <c r="BZ344" s="54"/>
      <c r="CA344" s="54"/>
      <c r="CB344" s="54"/>
      <c r="CC344" s="54"/>
      <c r="CD344" s="54"/>
      <c r="CE344" s="54"/>
      <c r="CF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81"/>
      <c r="BS345" s="81"/>
      <c r="BT345" s="81"/>
      <c r="BU345" s="81"/>
      <c r="BV345" s="81"/>
      <c r="BW345" s="54"/>
      <c r="BX345" s="54"/>
      <c r="BY345" s="54"/>
      <c r="BZ345" s="54"/>
      <c r="CA345" s="54"/>
      <c r="CB345" s="54"/>
      <c r="CC345" s="54"/>
      <c r="CD345" s="54"/>
      <c r="CE345" s="54"/>
      <c r="CF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81"/>
      <c r="BS346" s="81"/>
      <c r="BT346" s="81"/>
      <c r="BU346" s="81"/>
      <c r="BV346" s="81"/>
      <c r="BW346" s="54"/>
      <c r="BX346" s="54"/>
      <c r="BY346" s="54"/>
      <c r="BZ346" s="54"/>
      <c r="CA346" s="54"/>
      <c r="CB346" s="54"/>
      <c r="CC346" s="54"/>
      <c r="CD346" s="54"/>
      <c r="CE346" s="54"/>
      <c r="CF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  <c r="BR347" s="81"/>
      <c r="BS347" s="81"/>
      <c r="BT347" s="81"/>
      <c r="BU347" s="81"/>
      <c r="BV347" s="81"/>
      <c r="BW347" s="54"/>
      <c r="BX347" s="54"/>
      <c r="BY347" s="54"/>
      <c r="BZ347" s="54"/>
      <c r="CA347" s="54"/>
      <c r="CB347" s="54"/>
      <c r="CC347" s="54"/>
      <c r="CD347" s="54"/>
      <c r="CE347" s="54"/>
      <c r="CF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  <c r="BR348" s="81"/>
      <c r="BS348" s="81"/>
      <c r="BT348" s="81"/>
      <c r="BU348" s="81"/>
      <c r="BV348" s="81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81"/>
      <c r="BS349" s="81"/>
      <c r="BT349" s="81"/>
      <c r="BU349" s="81"/>
      <c r="BV349" s="81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  <c r="BR350" s="81"/>
      <c r="BS350" s="81"/>
      <c r="BT350" s="81"/>
      <c r="BU350" s="81"/>
      <c r="BV350" s="81"/>
      <c r="BW350" s="54"/>
      <c r="BX350" s="54"/>
      <c r="BY350" s="54"/>
      <c r="BZ350" s="54"/>
      <c r="CA350" s="54"/>
      <c r="CB350" s="54"/>
      <c r="CC350" s="54"/>
      <c r="CD350" s="54"/>
      <c r="CE350" s="54"/>
      <c r="CF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  <c r="BR351" s="81"/>
      <c r="BS351" s="81"/>
      <c r="BT351" s="81"/>
      <c r="BU351" s="81"/>
      <c r="BV351" s="81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81"/>
      <c r="BS352" s="81"/>
      <c r="BT352" s="81"/>
      <c r="BU352" s="81"/>
      <c r="BV352" s="81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81"/>
      <c r="BS353" s="81"/>
      <c r="BT353" s="81"/>
      <c r="BU353" s="81"/>
      <c r="BV353" s="81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81"/>
      <c r="BS354" s="81"/>
      <c r="BT354" s="81"/>
      <c r="BU354" s="81"/>
      <c r="BV354" s="81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81"/>
      <c r="BS355" s="81"/>
      <c r="BT355" s="81"/>
      <c r="BU355" s="81"/>
      <c r="BV355" s="81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81"/>
      <c r="BS356" s="81"/>
      <c r="BT356" s="81"/>
      <c r="BU356" s="81"/>
      <c r="BV356" s="81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81"/>
      <c r="BS357" s="81"/>
      <c r="BT357" s="81"/>
      <c r="BU357" s="81"/>
      <c r="BV357" s="81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81"/>
      <c r="BS358" s="81"/>
      <c r="BT358" s="81"/>
      <c r="BU358" s="81"/>
      <c r="BV358" s="81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81"/>
      <c r="BS359" s="81"/>
      <c r="BT359" s="81"/>
      <c r="BU359" s="81"/>
      <c r="BV359" s="81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81"/>
      <c r="BS360" s="81"/>
      <c r="BT360" s="81"/>
      <c r="BU360" s="81"/>
      <c r="BV360" s="81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81"/>
      <c r="BS361" s="81"/>
      <c r="BT361" s="81"/>
      <c r="BU361" s="81"/>
      <c r="BV361" s="81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81"/>
      <c r="BS362" s="81"/>
      <c r="BT362" s="81"/>
      <c r="BU362" s="81"/>
      <c r="BV362" s="81"/>
      <c r="BW362" s="54"/>
      <c r="BX362" s="54"/>
      <c r="BY362" s="54"/>
      <c r="BZ362" s="54"/>
      <c r="CA362" s="54"/>
      <c r="CB362" s="54"/>
      <c r="CC362" s="54"/>
      <c r="CD362" s="54"/>
      <c r="CE362" s="54"/>
      <c r="CF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81"/>
      <c r="BS363" s="81"/>
      <c r="BT363" s="81"/>
      <c r="BU363" s="81"/>
      <c r="BV363" s="81"/>
      <c r="BW363" s="54"/>
      <c r="BX363" s="54"/>
      <c r="BY363" s="54"/>
      <c r="BZ363" s="54"/>
      <c r="CA363" s="54"/>
      <c r="CB363" s="54"/>
      <c r="CC363" s="54"/>
      <c r="CD363" s="54"/>
      <c r="CE363" s="54"/>
      <c r="CF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81"/>
      <c r="BS364" s="81"/>
      <c r="BT364" s="81"/>
      <c r="BU364" s="81"/>
      <c r="BV364" s="81"/>
      <c r="BW364" s="54"/>
      <c r="BX364" s="54"/>
      <c r="BY364" s="54"/>
      <c r="BZ364" s="54"/>
      <c r="CA364" s="54"/>
      <c r="CB364" s="54"/>
      <c r="CC364" s="54"/>
      <c r="CD364" s="54"/>
      <c r="CE364" s="54"/>
      <c r="CF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  <c r="BR365" s="81"/>
      <c r="BS365" s="81"/>
      <c r="BT365" s="81"/>
      <c r="BU365" s="81"/>
      <c r="BV365" s="81"/>
      <c r="BW365" s="54"/>
      <c r="BX365" s="54"/>
      <c r="BY365" s="54"/>
      <c r="BZ365" s="54"/>
      <c r="CA365" s="54"/>
      <c r="CB365" s="54"/>
      <c r="CC365" s="54"/>
      <c r="CD365" s="54"/>
      <c r="CE365" s="54"/>
      <c r="CF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81"/>
      <c r="BS366" s="81"/>
      <c r="BT366" s="81"/>
      <c r="BU366" s="81"/>
      <c r="BV366" s="81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81"/>
      <c r="BS367" s="81"/>
      <c r="BT367" s="81"/>
      <c r="BU367" s="81"/>
      <c r="BV367" s="81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81"/>
      <c r="BS368" s="81"/>
      <c r="BT368" s="81"/>
      <c r="BU368" s="81"/>
      <c r="BV368" s="81"/>
      <c r="BW368" s="54"/>
      <c r="BX368" s="54"/>
      <c r="BY368" s="54"/>
      <c r="BZ368" s="54"/>
      <c r="CA368" s="54"/>
      <c r="CB368" s="54"/>
      <c r="CC368" s="54"/>
      <c r="CD368" s="54"/>
      <c r="CE368" s="54"/>
      <c r="CF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81"/>
      <c r="BS369" s="81"/>
      <c r="BT369" s="81"/>
      <c r="BU369" s="81"/>
      <c r="BV369" s="81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81"/>
      <c r="BS370" s="81"/>
      <c r="BT370" s="81"/>
      <c r="BU370" s="81"/>
      <c r="BV370" s="81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81"/>
      <c r="BS371" s="81"/>
      <c r="BT371" s="81"/>
      <c r="BU371" s="81"/>
      <c r="BV371" s="81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81"/>
      <c r="BS372" s="81"/>
      <c r="BT372" s="81"/>
      <c r="BU372" s="81"/>
      <c r="BV372" s="81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81"/>
      <c r="BS373" s="81"/>
      <c r="BT373" s="81"/>
      <c r="BU373" s="81"/>
      <c r="BV373" s="81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81"/>
      <c r="BS374" s="81"/>
      <c r="BT374" s="81"/>
      <c r="BU374" s="81"/>
      <c r="BV374" s="81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81"/>
      <c r="BS375" s="81"/>
      <c r="BT375" s="81"/>
      <c r="BU375" s="81"/>
      <c r="BV375" s="81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81"/>
      <c r="BS376" s="81"/>
      <c r="BT376" s="81"/>
      <c r="BU376" s="81"/>
      <c r="BV376" s="81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81"/>
      <c r="BS377" s="81"/>
      <c r="BT377" s="81"/>
      <c r="BU377" s="81"/>
      <c r="BV377" s="81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81"/>
      <c r="BS378" s="81"/>
      <c r="BT378" s="81"/>
      <c r="BU378" s="81"/>
      <c r="BV378" s="81"/>
      <c r="BW378" s="54"/>
      <c r="BX378" s="54"/>
      <c r="BY378" s="54"/>
      <c r="BZ378" s="54"/>
      <c r="CA378" s="54"/>
      <c r="CB378" s="54"/>
      <c r="CC378" s="54"/>
      <c r="CD378" s="54"/>
      <c r="CE378" s="54"/>
      <c r="CF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81"/>
      <c r="BS379" s="81"/>
      <c r="BT379" s="81"/>
      <c r="BU379" s="81"/>
      <c r="BV379" s="81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81"/>
      <c r="BS380" s="81"/>
      <c r="BT380" s="81"/>
      <c r="BU380" s="81"/>
      <c r="BV380" s="81"/>
      <c r="BW380" s="54"/>
      <c r="BX380" s="54"/>
      <c r="BY380" s="54"/>
      <c r="BZ380" s="54"/>
      <c r="CA380" s="54"/>
      <c r="CB380" s="54"/>
      <c r="CC380" s="54"/>
      <c r="CD380" s="54"/>
      <c r="CE380" s="54"/>
      <c r="CF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81"/>
      <c r="BS381" s="81"/>
      <c r="BT381" s="81"/>
      <c r="BU381" s="81"/>
      <c r="BV381" s="81"/>
      <c r="BW381" s="54"/>
      <c r="BX381" s="54"/>
      <c r="BY381" s="54"/>
      <c r="BZ381" s="54"/>
      <c r="CA381" s="54"/>
      <c r="CB381" s="54"/>
      <c r="CC381" s="54"/>
      <c r="CD381" s="54"/>
      <c r="CE381" s="54"/>
      <c r="CF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  <c r="BR382" s="81"/>
      <c r="BS382" s="81"/>
      <c r="BT382" s="81"/>
      <c r="BU382" s="81"/>
      <c r="BV382" s="81"/>
      <c r="BW382" s="54"/>
      <c r="BX382" s="54"/>
      <c r="BY382" s="54"/>
      <c r="BZ382" s="54"/>
      <c r="CA382" s="54"/>
      <c r="CB382" s="54"/>
      <c r="CC382" s="54"/>
      <c r="CD382" s="54"/>
      <c r="CE382" s="54"/>
      <c r="CF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  <c r="BR383" s="81"/>
      <c r="BS383" s="81"/>
      <c r="BT383" s="81"/>
      <c r="BU383" s="81"/>
      <c r="BV383" s="81"/>
      <c r="BW383" s="54"/>
      <c r="BX383" s="54"/>
      <c r="BY383" s="54"/>
      <c r="BZ383" s="54"/>
      <c r="CA383" s="54"/>
      <c r="CB383" s="54"/>
      <c r="CC383" s="54"/>
      <c r="CD383" s="54"/>
      <c r="CE383" s="54"/>
      <c r="CF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81"/>
      <c r="BS384" s="81"/>
      <c r="BT384" s="81"/>
      <c r="BU384" s="81"/>
      <c r="BV384" s="81"/>
      <c r="BW384" s="54"/>
      <c r="BX384" s="54"/>
      <c r="BY384" s="54"/>
      <c r="BZ384" s="54"/>
      <c r="CA384" s="54"/>
      <c r="CB384" s="54"/>
      <c r="CC384" s="54"/>
      <c r="CD384" s="54"/>
      <c r="CE384" s="54"/>
      <c r="CF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  <c r="BR385" s="81"/>
      <c r="BS385" s="81"/>
      <c r="BT385" s="81"/>
      <c r="BU385" s="81"/>
      <c r="BV385" s="81"/>
      <c r="BW385" s="54"/>
      <c r="BX385" s="54"/>
      <c r="BY385" s="54"/>
      <c r="BZ385" s="54"/>
      <c r="CA385" s="54"/>
      <c r="CB385" s="54"/>
      <c r="CC385" s="54"/>
      <c r="CD385" s="54"/>
      <c r="CE385" s="54"/>
      <c r="CF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  <c r="BR386" s="81"/>
      <c r="BS386" s="81"/>
      <c r="BT386" s="81"/>
      <c r="BU386" s="81"/>
      <c r="BV386" s="81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81"/>
      <c r="BS387" s="81"/>
      <c r="BT387" s="81"/>
      <c r="BU387" s="81"/>
      <c r="BV387" s="81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81"/>
      <c r="BS388" s="81"/>
      <c r="BT388" s="81"/>
      <c r="BU388" s="81"/>
      <c r="BV388" s="81"/>
      <c r="BW388" s="54"/>
      <c r="BX388" s="54"/>
      <c r="BY388" s="54"/>
      <c r="BZ388" s="54"/>
      <c r="CA388" s="54"/>
      <c r="CB388" s="54"/>
      <c r="CC388" s="54"/>
      <c r="CD388" s="54"/>
      <c r="CE388" s="54"/>
      <c r="CF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81"/>
      <c r="BS389" s="81"/>
      <c r="BT389" s="81"/>
      <c r="BU389" s="81"/>
      <c r="BV389" s="81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81"/>
      <c r="BS390" s="81"/>
      <c r="BT390" s="81"/>
      <c r="BU390" s="81"/>
      <c r="BV390" s="81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81"/>
      <c r="BS391" s="81"/>
      <c r="BT391" s="81"/>
      <c r="BU391" s="81"/>
      <c r="BV391" s="81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81"/>
      <c r="BS392" s="81"/>
      <c r="BT392" s="81"/>
      <c r="BU392" s="81"/>
      <c r="BV392" s="81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81"/>
      <c r="BS393" s="81"/>
      <c r="BT393" s="81"/>
      <c r="BU393" s="81"/>
      <c r="BV393" s="81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81"/>
      <c r="BS394" s="81"/>
      <c r="BT394" s="81"/>
      <c r="BU394" s="81"/>
      <c r="BV394" s="81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81"/>
      <c r="BS395" s="81"/>
      <c r="BT395" s="81"/>
      <c r="BU395" s="81"/>
      <c r="BV395" s="81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81"/>
      <c r="BS396" s="81"/>
      <c r="BT396" s="81"/>
      <c r="BU396" s="81"/>
      <c r="BV396" s="81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81"/>
      <c r="BS397" s="81"/>
      <c r="BT397" s="81"/>
      <c r="BU397" s="81"/>
      <c r="BV397" s="81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81"/>
      <c r="BS398" s="81"/>
      <c r="BT398" s="81"/>
      <c r="BU398" s="81"/>
      <c r="BV398" s="81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81"/>
      <c r="BS399" s="81"/>
      <c r="BT399" s="81"/>
      <c r="BU399" s="81"/>
      <c r="BV399" s="81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  <c r="BR400" s="81"/>
      <c r="BS400" s="81"/>
      <c r="BT400" s="81"/>
      <c r="BU400" s="81"/>
      <c r="BV400" s="81"/>
      <c r="BW400" s="54"/>
      <c r="BX400" s="54"/>
      <c r="BY400" s="54"/>
      <c r="BZ400" s="54"/>
      <c r="CA400" s="54"/>
      <c r="CB400" s="54"/>
      <c r="CC400" s="54"/>
      <c r="CD400" s="54"/>
      <c r="CE400" s="54"/>
      <c r="CF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81"/>
      <c r="BS401" s="81"/>
      <c r="BT401" s="81"/>
      <c r="BU401" s="81"/>
      <c r="BV401" s="81"/>
      <c r="BW401" s="54"/>
      <c r="BX401" s="54"/>
      <c r="BY401" s="54"/>
      <c r="BZ401" s="54"/>
      <c r="CA401" s="54"/>
      <c r="CB401" s="54"/>
      <c r="CC401" s="54"/>
      <c r="CD401" s="54"/>
      <c r="CE401" s="54"/>
      <c r="CF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81"/>
      <c r="BS402" s="81"/>
      <c r="BT402" s="81"/>
      <c r="BU402" s="81"/>
      <c r="BV402" s="81"/>
      <c r="BW402" s="54"/>
      <c r="BX402" s="54"/>
      <c r="BY402" s="54"/>
      <c r="BZ402" s="54"/>
      <c r="CA402" s="54"/>
      <c r="CB402" s="54"/>
      <c r="CC402" s="54"/>
      <c r="CD402" s="54"/>
      <c r="CE402" s="54"/>
      <c r="CF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  <c r="BR403" s="81"/>
      <c r="BS403" s="81"/>
      <c r="BT403" s="81"/>
      <c r="BU403" s="81"/>
      <c r="BV403" s="81"/>
      <c r="BW403" s="54"/>
      <c r="BX403" s="54"/>
      <c r="BY403" s="54"/>
      <c r="BZ403" s="54"/>
      <c r="CA403" s="54"/>
      <c r="CB403" s="54"/>
      <c r="CC403" s="54"/>
      <c r="CD403" s="54"/>
      <c r="CE403" s="54"/>
      <c r="CF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81"/>
      <c r="BS404" s="81"/>
      <c r="BT404" s="81"/>
      <c r="BU404" s="81"/>
      <c r="BV404" s="81"/>
      <c r="BW404" s="54"/>
      <c r="BX404" s="54"/>
      <c r="BY404" s="54"/>
      <c r="BZ404" s="54"/>
      <c r="CA404" s="54"/>
      <c r="CB404" s="54"/>
      <c r="CC404" s="54"/>
      <c r="CD404" s="54"/>
      <c r="CE404" s="54"/>
      <c r="CF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81"/>
      <c r="BS405" s="81"/>
      <c r="BT405" s="81"/>
      <c r="BU405" s="81"/>
      <c r="BV405" s="81"/>
      <c r="BW405" s="54"/>
      <c r="BX405" s="54"/>
      <c r="BY405" s="54"/>
      <c r="BZ405" s="54"/>
      <c r="CA405" s="54"/>
      <c r="CB405" s="54"/>
      <c r="CC405" s="54"/>
      <c r="CD405" s="54"/>
      <c r="CE405" s="54"/>
      <c r="CF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  <c r="BR406" s="81"/>
      <c r="BS406" s="81"/>
      <c r="BT406" s="81"/>
      <c r="BU406" s="81"/>
      <c r="BV406" s="81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  <c r="BR407" s="81"/>
      <c r="BS407" s="81"/>
      <c r="BT407" s="81"/>
      <c r="BU407" s="81"/>
      <c r="BV407" s="81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81"/>
      <c r="BS408" s="81"/>
      <c r="BT408" s="81"/>
      <c r="BU408" s="81"/>
      <c r="BV408" s="81"/>
      <c r="BW408" s="54"/>
      <c r="BX408" s="54"/>
      <c r="BY408" s="54"/>
      <c r="BZ408" s="54"/>
      <c r="CA408" s="54"/>
      <c r="CB408" s="54"/>
      <c r="CC408" s="54"/>
      <c r="CD408" s="54"/>
      <c r="CE408" s="54"/>
      <c r="CF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81"/>
      <c r="BS409" s="81"/>
      <c r="BT409" s="81"/>
      <c r="BU409" s="81"/>
      <c r="BV409" s="81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81"/>
      <c r="BS410" s="81"/>
      <c r="BT410" s="81"/>
      <c r="BU410" s="81"/>
      <c r="BV410" s="81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81"/>
      <c r="BS411" s="81"/>
      <c r="BT411" s="81"/>
      <c r="BU411" s="81"/>
      <c r="BV411" s="81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81"/>
      <c r="BS412" s="81"/>
      <c r="BT412" s="81"/>
      <c r="BU412" s="81"/>
      <c r="BV412" s="81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81"/>
      <c r="BS413" s="81"/>
      <c r="BT413" s="81"/>
      <c r="BU413" s="81"/>
      <c r="BV413" s="81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81"/>
      <c r="BS414" s="81"/>
      <c r="BT414" s="81"/>
      <c r="BU414" s="81"/>
      <c r="BV414" s="81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81"/>
      <c r="BS415" s="81"/>
      <c r="BT415" s="81"/>
      <c r="BU415" s="81"/>
      <c r="BV415" s="81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81"/>
      <c r="BS416" s="81"/>
      <c r="BT416" s="81"/>
      <c r="BU416" s="81"/>
      <c r="BV416" s="81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81"/>
      <c r="BS417" s="81"/>
      <c r="BT417" s="81"/>
      <c r="BU417" s="81"/>
      <c r="BV417" s="81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81"/>
      <c r="BS418" s="81"/>
      <c r="BT418" s="81"/>
      <c r="BU418" s="81"/>
      <c r="BV418" s="81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81"/>
      <c r="BS419" s="81"/>
      <c r="BT419" s="81"/>
      <c r="BU419" s="81"/>
      <c r="BV419" s="81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81"/>
      <c r="BS420" s="81"/>
      <c r="BT420" s="81"/>
      <c r="BU420" s="81"/>
      <c r="BV420" s="81"/>
      <c r="BW420" s="54"/>
      <c r="BX420" s="54"/>
      <c r="BY420" s="54"/>
      <c r="BZ420" s="54"/>
      <c r="CA420" s="54"/>
      <c r="CB420" s="54"/>
      <c r="CC420" s="54"/>
      <c r="CD420" s="54"/>
      <c r="CE420" s="54"/>
      <c r="CF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  <c r="BR421" s="81"/>
      <c r="BS421" s="81"/>
      <c r="BT421" s="81"/>
      <c r="BU421" s="81"/>
      <c r="BV421" s="81"/>
      <c r="BW421" s="54"/>
      <c r="BX421" s="54"/>
      <c r="BY421" s="54"/>
      <c r="BZ421" s="54"/>
      <c r="CA421" s="54"/>
      <c r="CB421" s="54"/>
      <c r="CC421" s="54"/>
      <c r="CD421" s="54"/>
      <c r="CE421" s="54"/>
      <c r="CF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81"/>
      <c r="BS422" s="81"/>
      <c r="BT422" s="81"/>
      <c r="BU422" s="81"/>
      <c r="BV422" s="81"/>
      <c r="BW422" s="54"/>
      <c r="BX422" s="54"/>
      <c r="BY422" s="54"/>
      <c r="BZ422" s="54"/>
      <c r="CA422" s="54"/>
      <c r="CB422" s="54"/>
      <c r="CC422" s="54"/>
      <c r="CD422" s="54"/>
      <c r="CE422" s="54"/>
      <c r="CF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81"/>
      <c r="BS423" s="81"/>
      <c r="BT423" s="81"/>
      <c r="BU423" s="81"/>
      <c r="BV423" s="81"/>
      <c r="BW423" s="54"/>
      <c r="BX423" s="54"/>
      <c r="BY423" s="54"/>
      <c r="BZ423" s="54"/>
      <c r="CA423" s="54"/>
      <c r="CB423" s="54"/>
      <c r="CC423" s="54"/>
      <c r="CD423" s="54"/>
      <c r="CE423" s="54"/>
      <c r="CF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  <c r="BR424" s="81"/>
      <c r="BS424" s="81"/>
      <c r="BT424" s="81"/>
      <c r="BU424" s="81"/>
      <c r="BV424" s="81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  <c r="BR425" s="81"/>
      <c r="BS425" s="81"/>
      <c r="BT425" s="81"/>
      <c r="BU425" s="81"/>
      <c r="BV425" s="81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81"/>
      <c r="BS426" s="81"/>
      <c r="BT426" s="81"/>
      <c r="BU426" s="81"/>
      <c r="BV426" s="81"/>
      <c r="BW426" s="54"/>
      <c r="BX426" s="54"/>
      <c r="BY426" s="54"/>
      <c r="BZ426" s="54"/>
      <c r="CA426" s="54"/>
      <c r="CB426" s="54"/>
      <c r="CC426" s="54"/>
      <c r="CD426" s="54"/>
      <c r="CE426" s="54"/>
      <c r="CF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  <c r="BR427" s="81"/>
      <c r="BS427" s="81"/>
      <c r="BT427" s="81"/>
      <c r="BU427" s="81"/>
      <c r="BV427" s="81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81"/>
      <c r="BS428" s="81"/>
      <c r="BT428" s="81"/>
      <c r="BU428" s="81"/>
      <c r="BV428" s="81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81"/>
      <c r="BS429" s="81"/>
      <c r="BT429" s="81"/>
      <c r="BU429" s="81"/>
      <c r="BV429" s="81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81"/>
      <c r="BS430" s="81"/>
      <c r="BT430" s="81"/>
      <c r="BU430" s="81"/>
      <c r="BV430" s="81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81"/>
      <c r="BS431" s="81"/>
      <c r="BT431" s="81"/>
      <c r="BU431" s="81"/>
      <c r="BV431" s="81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81"/>
      <c r="BS432" s="81"/>
      <c r="BT432" s="81"/>
      <c r="BU432" s="81"/>
      <c r="BV432" s="81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81"/>
      <c r="BS433" s="81"/>
      <c r="BT433" s="81"/>
      <c r="BU433" s="81"/>
      <c r="BV433" s="81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81"/>
      <c r="BS434" s="81"/>
      <c r="BT434" s="81"/>
      <c r="BU434" s="81"/>
      <c r="BV434" s="81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81"/>
      <c r="BS435" s="81"/>
      <c r="BT435" s="81"/>
      <c r="BU435" s="81"/>
      <c r="BV435" s="81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81"/>
      <c r="BS436" s="81"/>
      <c r="BT436" s="81"/>
      <c r="BU436" s="81"/>
      <c r="BV436" s="81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81"/>
      <c r="BS437" s="81"/>
      <c r="BT437" s="81"/>
      <c r="BU437" s="81"/>
      <c r="BV437" s="81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81"/>
      <c r="BS438" s="81"/>
      <c r="BT438" s="81"/>
      <c r="BU438" s="81"/>
      <c r="BV438" s="81"/>
      <c r="BW438" s="54"/>
      <c r="BX438" s="54"/>
      <c r="BY438" s="54"/>
      <c r="BZ438" s="54"/>
      <c r="CA438" s="54"/>
      <c r="CB438" s="54"/>
      <c r="CC438" s="54"/>
      <c r="CD438" s="54"/>
      <c r="CE438" s="54"/>
      <c r="CF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81"/>
      <c r="BS439" s="81"/>
      <c r="BT439" s="81"/>
      <c r="BU439" s="81"/>
      <c r="BV439" s="81"/>
      <c r="BW439" s="54"/>
      <c r="BX439" s="54"/>
      <c r="BY439" s="54"/>
      <c r="BZ439" s="54"/>
      <c r="CA439" s="54"/>
      <c r="CB439" s="54"/>
      <c r="CC439" s="54"/>
      <c r="CD439" s="54"/>
      <c r="CE439" s="54"/>
      <c r="CF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81"/>
      <c r="BS440" s="81"/>
      <c r="BT440" s="81"/>
      <c r="BU440" s="81"/>
      <c r="BV440" s="81"/>
      <c r="BW440" s="54"/>
      <c r="BX440" s="54"/>
      <c r="BY440" s="54"/>
      <c r="BZ440" s="54"/>
      <c r="CA440" s="54"/>
      <c r="CB440" s="54"/>
      <c r="CC440" s="54"/>
      <c r="CD440" s="54"/>
      <c r="CE440" s="54"/>
      <c r="CF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81"/>
      <c r="BS441" s="81"/>
      <c r="BT441" s="81"/>
      <c r="BU441" s="81"/>
      <c r="BV441" s="81"/>
      <c r="BW441" s="54"/>
      <c r="BX441" s="54"/>
      <c r="BY441" s="54"/>
      <c r="BZ441" s="54"/>
      <c r="CA441" s="54"/>
      <c r="CB441" s="54"/>
      <c r="CC441" s="54"/>
      <c r="CD441" s="54"/>
      <c r="CE441" s="54"/>
      <c r="CF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  <c r="BR442" s="81"/>
      <c r="BS442" s="81"/>
      <c r="BT442" s="81"/>
      <c r="BU442" s="81"/>
      <c r="BV442" s="81"/>
      <c r="BW442" s="54"/>
      <c r="BX442" s="54"/>
      <c r="BY442" s="54"/>
      <c r="BZ442" s="54"/>
      <c r="CA442" s="54"/>
      <c r="CB442" s="54"/>
      <c r="CC442" s="54"/>
      <c r="CD442" s="54"/>
      <c r="CE442" s="54"/>
      <c r="CF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81"/>
      <c r="BS443" s="81"/>
      <c r="BT443" s="81"/>
      <c r="BU443" s="81"/>
      <c r="BV443" s="81"/>
      <c r="BW443" s="54"/>
      <c r="BX443" s="54"/>
      <c r="BY443" s="54"/>
      <c r="BZ443" s="54"/>
      <c r="CA443" s="54"/>
      <c r="CB443" s="54"/>
      <c r="CC443" s="54"/>
      <c r="CD443" s="54"/>
      <c r="CE443" s="54"/>
      <c r="CF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81"/>
      <c r="BS444" s="81"/>
      <c r="BT444" s="81"/>
      <c r="BU444" s="81"/>
      <c r="BV444" s="81"/>
      <c r="BW444" s="54"/>
      <c r="BX444" s="54"/>
      <c r="BY444" s="54"/>
      <c r="BZ444" s="54"/>
      <c r="CA444" s="54"/>
      <c r="CB444" s="54"/>
      <c r="CC444" s="54"/>
      <c r="CD444" s="54"/>
      <c r="CE444" s="54"/>
      <c r="CF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  <c r="BR445" s="81"/>
      <c r="BS445" s="81"/>
      <c r="BT445" s="81"/>
      <c r="BU445" s="81"/>
      <c r="BV445" s="81"/>
      <c r="BW445" s="54"/>
      <c r="BX445" s="54"/>
      <c r="BY445" s="54"/>
      <c r="BZ445" s="54"/>
      <c r="CA445" s="54"/>
      <c r="CB445" s="54"/>
      <c r="CC445" s="54"/>
      <c r="CD445" s="54"/>
      <c r="CE445" s="54"/>
      <c r="CF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81"/>
      <c r="BS446" s="81"/>
      <c r="BT446" s="81"/>
      <c r="BU446" s="81"/>
      <c r="BV446" s="81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81"/>
      <c r="BS447" s="81"/>
      <c r="BT447" s="81"/>
      <c r="BU447" s="81"/>
      <c r="BV447" s="81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  <c r="BR448" s="81"/>
      <c r="BS448" s="81"/>
      <c r="BT448" s="81"/>
      <c r="BU448" s="81"/>
      <c r="BV448" s="81"/>
      <c r="BW448" s="54"/>
      <c r="BX448" s="54"/>
      <c r="BY448" s="54"/>
      <c r="BZ448" s="54"/>
      <c r="CA448" s="54"/>
      <c r="CB448" s="54"/>
      <c r="CC448" s="54"/>
      <c r="CD448" s="54"/>
      <c r="CE448" s="54"/>
      <c r="CF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81"/>
      <c r="BS449" s="81"/>
      <c r="BT449" s="81"/>
      <c r="BU449" s="81"/>
      <c r="BV449" s="81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81"/>
      <c r="BS450" s="81"/>
      <c r="BT450" s="81"/>
      <c r="BU450" s="81"/>
      <c r="BV450" s="81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81"/>
      <c r="BS451" s="81"/>
      <c r="BT451" s="81"/>
      <c r="BU451" s="81"/>
      <c r="BV451" s="81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81"/>
      <c r="BS452" s="81"/>
      <c r="BT452" s="81"/>
      <c r="BU452" s="81"/>
      <c r="BV452" s="81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81"/>
      <c r="BS453" s="81"/>
      <c r="BT453" s="81"/>
      <c r="BU453" s="81"/>
      <c r="BV453" s="81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81"/>
      <c r="BS454" s="81"/>
      <c r="BT454" s="81"/>
      <c r="BU454" s="81"/>
      <c r="BV454" s="81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81"/>
      <c r="BS455" s="81"/>
      <c r="BT455" s="81"/>
      <c r="BU455" s="81"/>
      <c r="BV455" s="81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81"/>
      <c r="BS456" s="81"/>
      <c r="BT456" s="81"/>
      <c r="BU456" s="81"/>
      <c r="BV456" s="81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81"/>
      <c r="BS457" s="81"/>
      <c r="BT457" s="81"/>
      <c r="BU457" s="81"/>
      <c r="BV457" s="81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81"/>
      <c r="BS458" s="81"/>
      <c r="BT458" s="81"/>
      <c r="BU458" s="81"/>
      <c r="BV458" s="81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81"/>
      <c r="BS459" s="81"/>
      <c r="BT459" s="81"/>
      <c r="BU459" s="81"/>
      <c r="BV459" s="81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  <c r="BR460" s="81"/>
      <c r="BS460" s="81"/>
      <c r="BT460" s="81"/>
      <c r="BU460" s="81"/>
      <c r="BV460" s="81"/>
      <c r="BW460" s="54"/>
      <c r="BX460" s="54"/>
      <c r="BY460" s="54"/>
      <c r="BZ460" s="54"/>
      <c r="CA460" s="54"/>
      <c r="CB460" s="54"/>
      <c r="CC460" s="54"/>
      <c r="CD460" s="54"/>
      <c r="CE460" s="54"/>
      <c r="CF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81"/>
      <c r="BS461" s="81"/>
      <c r="BT461" s="81"/>
      <c r="BU461" s="81"/>
      <c r="BV461" s="81"/>
      <c r="BW461" s="54"/>
      <c r="BX461" s="54"/>
      <c r="BY461" s="54"/>
      <c r="BZ461" s="54"/>
      <c r="CA461" s="54"/>
      <c r="CB461" s="54"/>
      <c r="CC461" s="54"/>
      <c r="CD461" s="54"/>
      <c r="CE461" s="54"/>
      <c r="CF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  <c r="BR462" s="81"/>
      <c r="BS462" s="81"/>
      <c r="BT462" s="81"/>
      <c r="BU462" s="81"/>
      <c r="BV462" s="81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81"/>
      <c r="BS463" s="81"/>
      <c r="BT463" s="81"/>
      <c r="BU463" s="81"/>
      <c r="BV463" s="81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81"/>
      <c r="BS464" s="81"/>
      <c r="BT464" s="81"/>
      <c r="BU464" s="81"/>
      <c r="BV464" s="81"/>
      <c r="BW464" s="54"/>
      <c r="BX464" s="54"/>
      <c r="BY464" s="54"/>
      <c r="BZ464" s="54"/>
      <c r="CA464" s="54"/>
      <c r="CB464" s="54"/>
      <c r="CC464" s="54"/>
      <c r="CD464" s="54"/>
      <c r="CE464" s="54"/>
      <c r="CF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81"/>
      <c r="BS465" s="81"/>
      <c r="BT465" s="81"/>
      <c r="BU465" s="81"/>
      <c r="BV465" s="81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81"/>
      <c r="BS466" s="81"/>
      <c r="BT466" s="81"/>
      <c r="BU466" s="81"/>
      <c r="BV466" s="81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81"/>
      <c r="BS467" s="81"/>
      <c r="BT467" s="81"/>
      <c r="BU467" s="81"/>
      <c r="BV467" s="81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81"/>
      <c r="BS468" s="81"/>
      <c r="BT468" s="81"/>
      <c r="BU468" s="81"/>
      <c r="BV468" s="81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81"/>
      <c r="BS469" s="81"/>
      <c r="BT469" s="81"/>
      <c r="BU469" s="81"/>
      <c r="BV469" s="81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81"/>
      <c r="BS470" s="81"/>
      <c r="BT470" s="81"/>
      <c r="BU470" s="81"/>
      <c r="BV470" s="81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81"/>
      <c r="BS471" s="81"/>
      <c r="BT471" s="81"/>
      <c r="BU471" s="81"/>
      <c r="BV471" s="81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81"/>
      <c r="BS472" s="81"/>
      <c r="BT472" s="81"/>
      <c r="BU472" s="81"/>
      <c r="BV472" s="81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81"/>
      <c r="BS473" s="81"/>
      <c r="BT473" s="81"/>
      <c r="BU473" s="81"/>
      <c r="BV473" s="81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81"/>
      <c r="BS474" s="81"/>
      <c r="BT474" s="81"/>
      <c r="BU474" s="81"/>
      <c r="BV474" s="81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81"/>
      <c r="BS475" s="81"/>
      <c r="BT475" s="81"/>
      <c r="BU475" s="81"/>
      <c r="BV475" s="81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81"/>
      <c r="BS476" s="81"/>
      <c r="BT476" s="81"/>
      <c r="BU476" s="81"/>
      <c r="BV476" s="81"/>
      <c r="BW476" s="54"/>
      <c r="BX476" s="54"/>
      <c r="BY476" s="54"/>
      <c r="BZ476" s="54"/>
      <c r="CA476" s="54"/>
      <c r="CB476" s="54"/>
      <c r="CC476" s="54"/>
      <c r="CD476" s="54"/>
      <c r="CE476" s="54"/>
      <c r="CF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  <c r="BR477" s="81"/>
      <c r="BS477" s="81"/>
      <c r="BT477" s="81"/>
      <c r="BU477" s="81"/>
      <c r="BV477" s="81"/>
      <c r="BW477" s="54"/>
      <c r="BX477" s="54"/>
      <c r="BY477" s="54"/>
      <c r="BZ477" s="54"/>
      <c r="CA477" s="54"/>
      <c r="CB477" s="54"/>
      <c r="CC477" s="54"/>
      <c r="CD477" s="54"/>
      <c r="CE477" s="54"/>
      <c r="CF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81"/>
      <c r="BS478" s="81"/>
      <c r="BT478" s="81"/>
      <c r="BU478" s="81"/>
      <c r="BV478" s="81"/>
      <c r="BW478" s="54"/>
      <c r="BX478" s="54"/>
      <c r="BY478" s="54"/>
      <c r="BZ478" s="54"/>
      <c r="CA478" s="54"/>
      <c r="CB478" s="54"/>
      <c r="CC478" s="54"/>
      <c r="CD478" s="54"/>
      <c r="CE478" s="54"/>
      <c r="CF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81"/>
      <c r="BS479" s="81"/>
      <c r="BT479" s="81"/>
      <c r="BU479" s="81"/>
      <c r="BV479" s="81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81"/>
      <c r="BS480" s="81"/>
      <c r="BT480" s="81"/>
      <c r="BU480" s="81"/>
      <c r="BV480" s="81"/>
      <c r="BW480" s="54"/>
      <c r="BX480" s="54"/>
      <c r="BY480" s="54"/>
      <c r="BZ480" s="54"/>
      <c r="CA480" s="54"/>
      <c r="CB480" s="54"/>
      <c r="CC480" s="54"/>
      <c r="CD480" s="54"/>
      <c r="CE480" s="54"/>
      <c r="CF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  <c r="BR481" s="81"/>
      <c r="BS481" s="81"/>
      <c r="BT481" s="81"/>
      <c r="BU481" s="81"/>
      <c r="BV481" s="81"/>
      <c r="BW481" s="54"/>
      <c r="BX481" s="54"/>
      <c r="BY481" s="54"/>
      <c r="BZ481" s="54"/>
      <c r="CA481" s="54"/>
      <c r="CB481" s="54"/>
      <c r="CC481" s="54"/>
      <c r="CD481" s="54"/>
      <c r="CE481" s="54"/>
      <c r="CF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81"/>
      <c r="BS482" s="81"/>
      <c r="BT482" s="81"/>
      <c r="BU482" s="81"/>
      <c r="BV482" s="81"/>
      <c r="BW482" s="54"/>
      <c r="BX482" s="54"/>
      <c r="BY482" s="54"/>
      <c r="BZ482" s="54"/>
      <c r="CA482" s="54"/>
      <c r="CB482" s="54"/>
      <c r="CC482" s="54"/>
      <c r="CD482" s="54"/>
      <c r="CE482" s="54"/>
      <c r="CF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  <c r="BR483" s="81"/>
      <c r="BS483" s="81"/>
      <c r="BT483" s="81"/>
      <c r="BU483" s="81"/>
      <c r="BV483" s="81"/>
      <c r="BW483" s="54"/>
      <c r="BX483" s="54"/>
      <c r="BY483" s="54"/>
      <c r="BZ483" s="54"/>
      <c r="CA483" s="54"/>
      <c r="CB483" s="54"/>
      <c r="CC483" s="54"/>
      <c r="CD483" s="54"/>
      <c r="CE483" s="54"/>
      <c r="CF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  <c r="BR484" s="81"/>
      <c r="BS484" s="81"/>
      <c r="BT484" s="81"/>
      <c r="BU484" s="81"/>
      <c r="BV484" s="81"/>
      <c r="BW484" s="54"/>
      <c r="BX484" s="54"/>
      <c r="BY484" s="54"/>
      <c r="BZ484" s="54"/>
      <c r="CA484" s="54"/>
      <c r="CB484" s="54"/>
      <c r="CC484" s="54"/>
      <c r="CD484" s="54"/>
      <c r="CE484" s="54"/>
      <c r="CF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81"/>
      <c r="BS485" s="81"/>
      <c r="BT485" s="81"/>
      <c r="BU485" s="81"/>
      <c r="BV485" s="81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81"/>
      <c r="BS486" s="81"/>
      <c r="BT486" s="81"/>
      <c r="BU486" s="81"/>
      <c r="BV486" s="81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  <c r="BR487" s="81"/>
      <c r="BS487" s="81"/>
      <c r="BT487" s="81"/>
      <c r="BU487" s="81"/>
      <c r="BV487" s="81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81"/>
      <c r="BS488" s="81"/>
      <c r="BT488" s="81"/>
      <c r="BU488" s="81"/>
      <c r="BV488" s="81"/>
      <c r="BW488" s="54"/>
      <c r="BX488" s="54"/>
      <c r="BY488" s="54"/>
      <c r="BZ488" s="54"/>
      <c r="CA488" s="54"/>
      <c r="CB488" s="54"/>
      <c r="CC488" s="54"/>
      <c r="CD488" s="54"/>
      <c r="CE488" s="54"/>
      <c r="CF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81"/>
      <c r="BS489" s="81"/>
      <c r="BT489" s="81"/>
      <c r="BU489" s="81"/>
      <c r="BV489" s="81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81"/>
      <c r="BS490" s="81"/>
      <c r="BT490" s="81"/>
      <c r="BU490" s="81"/>
      <c r="BV490" s="81"/>
      <c r="BW490" s="54"/>
      <c r="BX490" s="54"/>
      <c r="BY490" s="54"/>
      <c r="BZ490" s="54"/>
      <c r="CA490" s="54"/>
      <c r="CB490" s="54"/>
      <c r="CC490" s="54"/>
      <c r="CD490" s="54"/>
      <c r="CE490" s="54"/>
      <c r="CF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81"/>
      <c r="BS491" s="81"/>
      <c r="BT491" s="81"/>
      <c r="BU491" s="81"/>
      <c r="BV491" s="81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81"/>
      <c r="BS492" s="81"/>
      <c r="BT492" s="81"/>
      <c r="BU492" s="81"/>
      <c r="BV492" s="81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81"/>
      <c r="BS493" s="81"/>
      <c r="BT493" s="81"/>
      <c r="BU493" s="81"/>
      <c r="BV493" s="81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81"/>
      <c r="BS494" s="81"/>
      <c r="BT494" s="81"/>
      <c r="BU494" s="81"/>
      <c r="BV494" s="81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81"/>
      <c r="BS495" s="81"/>
      <c r="BT495" s="81"/>
      <c r="BU495" s="81"/>
      <c r="BV495" s="81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81"/>
      <c r="BS496" s="81"/>
      <c r="BT496" s="81"/>
      <c r="BU496" s="81"/>
      <c r="BV496" s="81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81"/>
      <c r="BS497" s="81"/>
      <c r="BT497" s="81"/>
      <c r="BU497" s="81"/>
      <c r="BV497" s="81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81"/>
      <c r="BS498" s="81"/>
      <c r="BT498" s="81"/>
      <c r="BU498" s="81"/>
      <c r="BV498" s="81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81"/>
      <c r="BS499" s="81"/>
      <c r="BT499" s="81"/>
      <c r="BU499" s="81"/>
      <c r="BV499" s="81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81"/>
      <c r="BS500" s="81"/>
      <c r="BT500" s="81"/>
      <c r="BU500" s="81"/>
      <c r="BV500" s="81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  <c r="BR501" s="81"/>
      <c r="BS501" s="81"/>
      <c r="BT501" s="81"/>
      <c r="BU501" s="81"/>
      <c r="BV501" s="81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/>
      <c r="BQ502" s="54"/>
      <c r="BR502" s="81"/>
      <c r="BS502" s="81"/>
      <c r="BT502" s="81"/>
      <c r="BU502" s="81"/>
      <c r="BV502" s="81"/>
      <c r="BW502" s="54"/>
      <c r="BX502" s="54"/>
      <c r="BY502" s="54"/>
      <c r="BZ502" s="54"/>
      <c r="CA502" s="54"/>
      <c r="CB502" s="54"/>
      <c r="CC502" s="54"/>
      <c r="CD502" s="54"/>
      <c r="CE502" s="54"/>
      <c r="CF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4"/>
      <c r="BE503" s="54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  <c r="BR503" s="81"/>
      <c r="BS503" s="81"/>
      <c r="BT503" s="81"/>
      <c r="BU503" s="81"/>
      <c r="BV503" s="81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81"/>
      <c r="BS504" s="81"/>
      <c r="BT504" s="81"/>
      <c r="BU504" s="81"/>
      <c r="BV504" s="81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81"/>
      <c r="BS505" s="81"/>
      <c r="BT505" s="81"/>
      <c r="BU505" s="81"/>
      <c r="BV505" s="81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81"/>
      <c r="BS506" s="81"/>
      <c r="BT506" s="81"/>
      <c r="BU506" s="81"/>
      <c r="BV506" s="81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81"/>
      <c r="BS507" s="81"/>
      <c r="BT507" s="81"/>
      <c r="BU507" s="81"/>
      <c r="BV507" s="81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81"/>
      <c r="BS508" s="81"/>
      <c r="BT508" s="81"/>
      <c r="BU508" s="81"/>
      <c r="BV508" s="81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81"/>
      <c r="BS509" s="81"/>
      <c r="BT509" s="81"/>
      <c r="BU509" s="81"/>
      <c r="BV509" s="81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81"/>
      <c r="BS510" s="81"/>
      <c r="BT510" s="81"/>
      <c r="BU510" s="81"/>
      <c r="BV510" s="81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81"/>
      <c r="BS511" s="81"/>
      <c r="BT511" s="81"/>
      <c r="BU511" s="81"/>
      <c r="BV511" s="81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81"/>
      <c r="BS512" s="81"/>
      <c r="BT512" s="81"/>
      <c r="BU512" s="81"/>
      <c r="BV512" s="81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81"/>
      <c r="BS513" s="81"/>
      <c r="BT513" s="81"/>
      <c r="BU513" s="81"/>
      <c r="BV513" s="81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81"/>
      <c r="BS514" s="81"/>
      <c r="BT514" s="81"/>
      <c r="BU514" s="81"/>
      <c r="BV514" s="81"/>
      <c r="BW514" s="54"/>
      <c r="BX514" s="54"/>
      <c r="BY514" s="54"/>
      <c r="BZ514" s="54"/>
      <c r="CA514" s="54"/>
      <c r="CB514" s="54"/>
      <c r="CC514" s="54"/>
      <c r="CD514" s="54"/>
      <c r="CE514" s="54"/>
      <c r="CF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  <c r="BR515" s="81"/>
      <c r="BS515" s="81"/>
      <c r="BT515" s="81"/>
      <c r="BU515" s="81"/>
      <c r="BV515" s="81"/>
      <c r="BW515" s="54"/>
      <c r="BX515" s="54"/>
      <c r="BY515" s="54"/>
      <c r="BZ515" s="54"/>
      <c r="CA515" s="54"/>
      <c r="CB515" s="54"/>
      <c r="CC515" s="54"/>
      <c r="CD515" s="54"/>
      <c r="CE515" s="54"/>
      <c r="CF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4"/>
      <c r="BQ516" s="54"/>
      <c r="BR516" s="81"/>
      <c r="BS516" s="81"/>
      <c r="BT516" s="81"/>
      <c r="BU516" s="81"/>
      <c r="BV516" s="81"/>
      <c r="BW516" s="54"/>
      <c r="BX516" s="54"/>
      <c r="BY516" s="54"/>
      <c r="BZ516" s="54"/>
      <c r="CA516" s="54"/>
      <c r="CB516" s="54"/>
      <c r="CC516" s="54"/>
      <c r="CD516" s="54"/>
      <c r="CE516" s="54"/>
      <c r="CF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  <c r="BR517" s="81"/>
      <c r="BS517" s="81"/>
      <c r="BT517" s="81"/>
      <c r="BU517" s="81"/>
      <c r="BV517" s="81"/>
      <c r="BW517" s="54"/>
      <c r="BX517" s="54"/>
      <c r="BY517" s="54"/>
      <c r="BZ517" s="54"/>
      <c r="CA517" s="54"/>
      <c r="CB517" s="54"/>
      <c r="CC517" s="54"/>
      <c r="CD517" s="54"/>
      <c r="CE517" s="54"/>
      <c r="CF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81"/>
      <c r="BS518" s="81"/>
      <c r="BT518" s="81"/>
      <c r="BU518" s="81"/>
      <c r="BV518" s="81"/>
      <c r="BW518" s="54"/>
      <c r="BX518" s="54"/>
      <c r="BY518" s="54"/>
      <c r="BZ518" s="54"/>
      <c r="CA518" s="54"/>
      <c r="CB518" s="54"/>
      <c r="CC518" s="54"/>
      <c r="CD518" s="54"/>
      <c r="CE518" s="54"/>
      <c r="CF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  <c r="BR519" s="81"/>
      <c r="BS519" s="81"/>
      <c r="BT519" s="81"/>
      <c r="BU519" s="81"/>
      <c r="BV519" s="81"/>
      <c r="BW519" s="54"/>
      <c r="BX519" s="54"/>
      <c r="BY519" s="54"/>
      <c r="BZ519" s="54"/>
      <c r="CA519" s="54"/>
      <c r="CB519" s="54"/>
      <c r="CC519" s="54"/>
      <c r="CD519" s="54"/>
      <c r="CE519" s="54"/>
      <c r="CF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81"/>
      <c r="BS520" s="81"/>
      <c r="BT520" s="81"/>
      <c r="BU520" s="81"/>
      <c r="BV520" s="81"/>
      <c r="BW520" s="54"/>
      <c r="BX520" s="54"/>
      <c r="BY520" s="54"/>
      <c r="BZ520" s="54"/>
      <c r="CA520" s="54"/>
      <c r="CB520" s="54"/>
      <c r="CC520" s="54"/>
      <c r="CD520" s="54"/>
      <c r="CE520" s="54"/>
      <c r="CF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81"/>
      <c r="BS521" s="81"/>
      <c r="BT521" s="81"/>
      <c r="BU521" s="81"/>
      <c r="BV521" s="81"/>
      <c r="BW521" s="54"/>
      <c r="BX521" s="54"/>
      <c r="BY521" s="54"/>
      <c r="BZ521" s="54"/>
      <c r="CA521" s="54"/>
      <c r="CB521" s="54"/>
      <c r="CC521" s="54"/>
      <c r="CD521" s="54"/>
      <c r="CE521" s="54"/>
      <c r="CF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4"/>
      <c r="BQ522" s="54"/>
      <c r="BR522" s="81"/>
      <c r="BS522" s="81"/>
      <c r="BT522" s="81"/>
      <c r="BU522" s="81"/>
      <c r="BV522" s="81"/>
      <c r="BW522" s="54"/>
      <c r="BX522" s="54"/>
      <c r="BY522" s="54"/>
      <c r="BZ522" s="54"/>
      <c r="CA522" s="54"/>
      <c r="CB522" s="54"/>
      <c r="CC522" s="54"/>
      <c r="CD522" s="54"/>
      <c r="CE522" s="54"/>
      <c r="CF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54"/>
      <c r="BR523" s="81"/>
      <c r="BS523" s="81"/>
      <c r="BT523" s="81"/>
      <c r="BU523" s="81"/>
      <c r="BV523" s="81"/>
      <c r="BW523" s="54"/>
      <c r="BX523" s="54"/>
      <c r="BY523" s="54"/>
      <c r="BZ523" s="54"/>
      <c r="CA523" s="54"/>
      <c r="CB523" s="54"/>
      <c r="CC523" s="54"/>
      <c r="CD523" s="54"/>
      <c r="CE523" s="54"/>
      <c r="CF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  <c r="BR524" s="81"/>
      <c r="BS524" s="81"/>
      <c r="BT524" s="81"/>
      <c r="BU524" s="81"/>
      <c r="BV524" s="81"/>
      <c r="BW524" s="54"/>
      <c r="BX524" s="54"/>
      <c r="BY524" s="54"/>
      <c r="BZ524" s="54"/>
      <c r="CA524" s="54"/>
      <c r="CB524" s="54"/>
      <c r="CC524" s="54"/>
      <c r="CD524" s="54"/>
      <c r="CE524" s="54"/>
      <c r="CF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  <c r="BI525" s="54"/>
      <c r="BJ525" s="54"/>
      <c r="BK525" s="54"/>
      <c r="BL525" s="54"/>
      <c r="BM525" s="54"/>
      <c r="BN525" s="54"/>
      <c r="BO525" s="54"/>
      <c r="BP525" s="54"/>
      <c r="BQ525" s="54"/>
      <c r="BR525" s="81"/>
      <c r="BS525" s="81"/>
      <c r="BT525" s="81"/>
      <c r="BU525" s="81"/>
      <c r="BV525" s="81"/>
      <c r="BW525" s="54"/>
      <c r="BX525" s="54"/>
      <c r="BY525" s="54"/>
      <c r="BZ525" s="54"/>
      <c r="CA525" s="54"/>
      <c r="CB525" s="54"/>
      <c r="CC525" s="54"/>
      <c r="CD525" s="54"/>
      <c r="CE525" s="54"/>
      <c r="CF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  <c r="BR526" s="81"/>
      <c r="BS526" s="81"/>
      <c r="BT526" s="81"/>
      <c r="BU526" s="81"/>
      <c r="BV526" s="81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54"/>
      <c r="BR527" s="81"/>
      <c r="BS527" s="81"/>
      <c r="BT527" s="81"/>
      <c r="BU527" s="81"/>
      <c r="BV527" s="81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81"/>
      <c r="BS528" s="81"/>
      <c r="BT528" s="81"/>
      <c r="BU528" s="81"/>
      <c r="BV528" s="81"/>
      <c r="BW528" s="54"/>
      <c r="BX528" s="54"/>
      <c r="BY528" s="54"/>
      <c r="BZ528" s="54"/>
      <c r="CA528" s="54"/>
      <c r="CB528" s="54"/>
      <c r="CC528" s="54"/>
      <c r="CD528" s="54"/>
      <c r="CE528" s="54"/>
      <c r="CF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4"/>
      <c r="BQ529" s="54"/>
      <c r="BR529" s="81"/>
      <c r="BS529" s="81"/>
      <c r="BT529" s="81"/>
      <c r="BU529" s="81"/>
      <c r="BV529" s="81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81"/>
      <c r="BS530" s="81"/>
      <c r="BT530" s="81"/>
      <c r="BU530" s="81"/>
      <c r="BV530" s="81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81"/>
      <c r="BS531" s="81"/>
      <c r="BT531" s="81"/>
      <c r="BU531" s="81"/>
      <c r="BV531" s="81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81"/>
      <c r="BS532" s="81"/>
      <c r="BT532" s="81"/>
      <c r="BU532" s="81"/>
      <c r="BV532" s="81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81"/>
      <c r="BS533" s="81"/>
      <c r="BT533" s="81"/>
      <c r="BU533" s="81"/>
      <c r="BV533" s="81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81"/>
      <c r="BS534" s="81"/>
      <c r="BT534" s="81"/>
      <c r="BU534" s="81"/>
      <c r="BV534" s="81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81"/>
      <c r="BS535" s="81"/>
      <c r="BT535" s="81"/>
      <c r="BU535" s="81"/>
      <c r="BV535" s="81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81"/>
      <c r="BS536" s="81"/>
      <c r="BT536" s="81"/>
      <c r="BU536" s="81"/>
      <c r="BV536" s="81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81"/>
      <c r="BS537" s="81"/>
      <c r="BT537" s="81"/>
      <c r="BU537" s="81"/>
      <c r="BV537" s="81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81"/>
      <c r="BS538" s="81"/>
      <c r="BT538" s="81"/>
      <c r="BU538" s="81"/>
      <c r="BV538" s="81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81"/>
      <c r="BS539" s="81"/>
      <c r="BT539" s="81"/>
      <c r="BU539" s="81"/>
      <c r="BV539" s="81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4"/>
      <c r="BQ540" s="54"/>
      <c r="BR540" s="81"/>
      <c r="BS540" s="81"/>
      <c r="BT540" s="81"/>
      <c r="BU540" s="81"/>
      <c r="BV540" s="81"/>
      <c r="BW540" s="54"/>
      <c r="BX540" s="54"/>
      <c r="BY540" s="54"/>
      <c r="BZ540" s="54"/>
      <c r="CA540" s="54"/>
      <c r="CB540" s="54"/>
      <c r="CC540" s="54"/>
      <c r="CD540" s="54"/>
      <c r="CE540" s="54"/>
      <c r="CF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54"/>
      <c r="BR541" s="81"/>
      <c r="BS541" s="81"/>
      <c r="BT541" s="81"/>
      <c r="BU541" s="81"/>
      <c r="BV541" s="81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81"/>
      <c r="BS542" s="81"/>
      <c r="BT542" s="81"/>
      <c r="BU542" s="81"/>
      <c r="BV542" s="81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81"/>
      <c r="BS543" s="81"/>
      <c r="BT543" s="81"/>
      <c r="BU543" s="81"/>
      <c r="BV543" s="81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81"/>
      <c r="BS544" s="81"/>
      <c r="BT544" s="81"/>
      <c r="BU544" s="81"/>
      <c r="BV544" s="81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81"/>
      <c r="BS545" s="81"/>
      <c r="BT545" s="81"/>
      <c r="BU545" s="81"/>
      <c r="BV545" s="81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81"/>
      <c r="BS546" s="81"/>
      <c r="BT546" s="81"/>
      <c r="BU546" s="81"/>
      <c r="BV546" s="81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81"/>
      <c r="BS547" s="81"/>
      <c r="BT547" s="81"/>
      <c r="BU547" s="81"/>
      <c r="BV547" s="81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81"/>
      <c r="BS548" s="81"/>
      <c r="BT548" s="81"/>
      <c r="BU548" s="81"/>
      <c r="BV548" s="81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81"/>
      <c r="BS549" s="81"/>
      <c r="BT549" s="81"/>
      <c r="BU549" s="81"/>
      <c r="BV549" s="81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81"/>
      <c r="BS550" s="81"/>
      <c r="BT550" s="81"/>
      <c r="BU550" s="81"/>
      <c r="BV550" s="81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81"/>
      <c r="BS551" s="81"/>
      <c r="BT551" s="81"/>
      <c r="BU551" s="81"/>
      <c r="BV551" s="81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54"/>
      <c r="BR552" s="81"/>
      <c r="BS552" s="81"/>
      <c r="BT552" s="81"/>
      <c r="BU552" s="81"/>
      <c r="BV552" s="81"/>
      <c r="BW552" s="54"/>
      <c r="BX552" s="54"/>
      <c r="BY552" s="54"/>
      <c r="BZ552" s="54"/>
      <c r="CA552" s="54"/>
      <c r="CB552" s="54"/>
      <c r="CC552" s="54"/>
      <c r="CD552" s="54"/>
      <c r="CE552" s="54"/>
      <c r="CF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  <c r="BI553" s="54"/>
      <c r="BJ553" s="54"/>
      <c r="BK553" s="54"/>
      <c r="BL553" s="54"/>
      <c r="BM553" s="54"/>
      <c r="BN553" s="54"/>
      <c r="BO553" s="54"/>
      <c r="BP553" s="54"/>
      <c r="BQ553" s="54"/>
      <c r="BR553" s="81"/>
      <c r="BS553" s="81"/>
      <c r="BT553" s="81"/>
      <c r="BU553" s="81"/>
      <c r="BV553" s="81"/>
      <c r="BW553" s="54"/>
      <c r="BX553" s="54"/>
      <c r="BY553" s="54"/>
      <c r="BZ553" s="54"/>
      <c r="CA553" s="54"/>
      <c r="CB553" s="54"/>
      <c r="CC553" s="54"/>
      <c r="CD553" s="54"/>
      <c r="CE553" s="54"/>
      <c r="CF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  <c r="BI554" s="54"/>
      <c r="BJ554" s="54"/>
      <c r="BK554" s="54"/>
      <c r="BL554" s="54"/>
      <c r="BM554" s="54"/>
      <c r="BN554" s="54"/>
      <c r="BO554" s="54"/>
      <c r="BP554" s="54"/>
      <c r="BQ554" s="54"/>
      <c r="BR554" s="81"/>
      <c r="BS554" s="81"/>
      <c r="BT554" s="81"/>
      <c r="BU554" s="81"/>
      <c r="BV554" s="81"/>
      <c r="BW554" s="54"/>
      <c r="BX554" s="54"/>
      <c r="BY554" s="54"/>
      <c r="BZ554" s="54"/>
      <c r="CA554" s="54"/>
      <c r="CB554" s="54"/>
      <c r="CC554" s="54"/>
      <c r="CD554" s="54"/>
      <c r="CE554" s="54"/>
      <c r="CF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54"/>
      <c r="BR555" s="81"/>
      <c r="BS555" s="81"/>
      <c r="BT555" s="81"/>
      <c r="BU555" s="81"/>
      <c r="BV555" s="81"/>
      <c r="BW555" s="54"/>
      <c r="BX555" s="54"/>
      <c r="BY555" s="54"/>
      <c r="BZ555" s="54"/>
      <c r="CA555" s="54"/>
      <c r="CB555" s="54"/>
      <c r="CC555" s="54"/>
      <c r="CD555" s="54"/>
      <c r="CE555" s="54"/>
      <c r="CF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54"/>
      <c r="BR556" s="81"/>
      <c r="BS556" s="81"/>
      <c r="BT556" s="81"/>
      <c r="BU556" s="81"/>
      <c r="BV556" s="81"/>
      <c r="BW556" s="54"/>
      <c r="BX556" s="54"/>
      <c r="BY556" s="54"/>
      <c r="BZ556" s="54"/>
      <c r="CA556" s="54"/>
      <c r="CB556" s="54"/>
      <c r="CC556" s="54"/>
      <c r="CD556" s="54"/>
      <c r="CE556" s="54"/>
      <c r="CF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4"/>
      <c r="BQ557" s="54"/>
      <c r="BR557" s="81"/>
      <c r="BS557" s="81"/>
      <c r="BT557" s="81"/>
      <c r="BU557" s="81"/>
      <c r="BV557" s="81"/>
      <c r="BW557" s="54"/>
      <c r="BX557" s="54"/>
      <c r="BY557" s="54"/>
      <c r="BZ557" s="54"/>
      <c r="CA557" s="54"/>
      <c r="CB557" s="54"/>
      <c r="CC557" s="54"/>
      <c r="CD557" s="54"/>
      <c r="CE557" s="54"/>
      <c r="CF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  <c r="BR558" s="81"/>
      <c r="BS558" s="81"/>
      <c r="BT558" s="81"/>
      <c r="BU558" s="81"/>
      <c r="BV558" s="81"/>
      <c r="BW558" s="54"/>
      <c r="BX558" s="54"/>
      <c r="BY558" s="54"/>
      <c r="BZ558" s="54"/>
      <c r="CA558" s="54"/>
      <c r="CB558" s="54"/>
      <c r="CC558" s="54"/>
      <c r="CD558" s="54"/>
      <c r="CE558" s="54"/>
      <c r="CF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81"/>
      <c r="BS559" s="81"/>
      <c r="BT559" s="81"/>
      <c r="BU559" s="81"/>
      <c r="BV559" s="81"/>
      <c r="BW559" s="54"/>
      <c r="BX559" s="54"/>
      <c r="BY559" s="54"/>
      <c r="BZ559" s="54"/>
      <c r="CA559" s="54"/>
      <c r="CB559" s="54"/>
      <c r="CC559" s="54"/>
      <c r="CD559" s="54"/>
      <c r="CE559" s="54"/>
      <c r="CF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  <c r="BR560" s="81"/>
      <c r="BS560" s="81"/>
      <c r="BT560" s="81"/>
      <c r="BU560" s="81"/>
      <c r="BV560" s="81"/>
      <c r="BW560" s="54"/>
      <c r="BX560" s="54"/>
      <c r="BY560" s="54"/>
      <c r="BZ560" s="54"/>
      <c r="CA560" s="54"/>
      <c r="CB560" s="54"/>
      <c r="CC560" s="54"/>
      <c r="CD560" s="54"/>
      <c r="CE560" s="54"/>
      <c r="CF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  <c r="BR561" s="81"/>
      <c r="BS561" s="81"/>
      <c r="BT561" s="81"/>
      <c r="BU561" s="81"/>
      <c r="BV561" s="81"/>
      <c r="BW561" s="54"/>
      <c r="BX561" s="54"/>
      <c r="BY561" s="54"/>
      <c r="BZ561" s="54"/>
      <c r="CA561" s="54"/>
      <c r="CB561" s="54"/>
      <c r="CC561" s="54"/>
      <c r="CD561" s="54"/>
      <c r="CE561" s="54"/>
      <c r="CF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81"/>
      <c r="BS562" s="81"/>
      <c r="BT562" s="81"/>
      <c r="BU562" s="81"/>
      <c r="BV562" s="81"/>
      <c r="BW562" s="54"/>
      <c r="BX562" s="54"/>
      <c r="BY562" s="54"/>
      <c r="BZ562" s="54"/>
      <c r="CA562" s="54"/>
      <c r="CB562" s="54"/>
      <c r="CC562" s="54"/>
      <c r="CD562" s="54"/>
      <c r="CE562" s="54"/>
      <c r="CF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81"/>
      <c r="BS563" s="81"/>
      <c r="BT563" s="81"/>
      <c r="BU563" s="81"/>
      <c r="BV563" s="81"/>
      <c r="BW563" s="54"/>
      <c r="BX563" s="54"/>
      <c r="BY563" s="54"/>
      <c r="BZ563" s="54"/>
      <c r="CA563" s="54"/>
      <c r="CB563" s="54"/>
      <c r="CC563" s="54"/>
      <c r="CD563" s="54"/>
      <c r="CE563" s="54"/>
      <c r="CF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  <c r="BR564" s="81"/>
      <c r="BS564" s="81"/>
      <c r="BT564" s="81"/>
      <c r="BU564" s="81"/>
      <c r="BV564" s="81"/>
      <c r="BW564" s="54"/>
      <c r="BX564" s="54"/>
      <c r="BY564" s="54"/>
      <c r="BZ564" s="54"/>
      <c r="CA564" s="54"/>
      <c r="CB564" s="54"/>
      <c r="CC564" s="54"/>
      <c r="CD564" s="54"/>
      <c r="CE564" s="54"/>
      <c r="CF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81"/>
      <c r="BS565" s="81"/>
      <c r="BT565" s="81"/>
      <c r="BU565" s="81"/>
      <c r="BV565" s="81"/>
      <c r="BW565" s="54"/>
      <c r="BX565" s="54"/>
      <c r="BY565" s="54"/>
      <c r="BZ565" s="54"/>
      <c r="CA565" s="54"/>
      <c r="CB565" s="54"/>
      <c r="CC565" s="54"/>
      <c r="CD565" s="54"/>
      <c r="CE565" s="54"/>
      <c r="CF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81"/>
      <c r="BS566" s="81"/>
      <c r="BT566" s="81"/>
      <c r="BU566" s="81"/>
      <c r="BV566" s="81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  <c r="BR567" s="81"/>
      <c r="BS567" s="81"/>
      <c r="BT567" s="81"/>
      <c r="BU567" s="81"/>
      <c r="BV567" s="81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  <c r="BR568" s="81"/>
      <c r="BS568" s="81"/>
      <c r="BT568" s="81"/>
      <c r="BU568" s="81"/>
      <c r="BV568" s="81"/>
      <c r="BW568" s="54"/>
      <c r="BX568" s="54"/>
      <c r="BY568" s="54"/>
      <c r="BZ568" s="54"/>
      <c r="CA568" s="54"/>
      <c r="CB568" s="54"/>
      <c r="CC568" s="54"/>
      <c r="CD568" s="54"/>
      <c r="CE568" s="54"/>
      <c r="CF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81"/>
      <c r="BS569" s="81"/>
      <c r="BT569" s="81"/>
      <c r="BU569" s="81"/>
      <c r="BV569" s="81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81"/>
      <c r="BS570" s="81"/>
      <c r="BT570" s="81"/>
      <c r="BU570" s="81"/>
      <c r="BV570" s="81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81"/>
      <c r="BS571" s="81"/>
      <c r="BT571" s="81"/>
      <c r="BU571" s="81"/>
      <c r="BV571" s="81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81"/>
      <c r="BS572" s="81"/>
      <c r="BT572" s="81"/>
      <c r="BU572" s="81"/>
      <c r="BV572" s="81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81"/>
      <c r="BS573" s="81"/>
      <c r="BT573" s="81"/>
      <c r="BU573" s="81"/>
      <c r="BV573" s="81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81"/>
      <c r="BS574" s="81"/>
      <c r="BT574" s="81"/>
      <c r="BU574" s="81"/>
      <c r="BV574" s="81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81"/>
      <c r="BS575" s="81"/>
      <c r="BT575" s="81"/>
      <c r="BU575" s="81"/>
      <c r="BV575" s="81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81"/>
      <c r="BS576" s="81"/>
      <c r="BT576" s="81"/>
      <c r="BU576" s="81"/>
      <c r="BV576" s="81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81"/>
      <c r="BS577" s="81"/>
      <c r="BT577" s="81"/>
      <c r="BU577" s="81"/>
      <c r="BV577" s="81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81"/>
      <c r="BS578" s="81"/>
      <c r="BT578" s="81"/>
      <c r="BU578" s="81"/>
      <c r="BV578" s="81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81"/>
      <c r="BS579" s="81"/>
      <c r="BT579" s="81"/>
      <c r="BU579" s="81"/>
      <c r="BV579" s="81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81"/>
      <c r="BS580" s="81"/>
      <c r="BT580" s="81"/>
      <c r="BU580" s="81"/>
      <c r="BV580" s="81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81"/>
      <c r="BS581" s="81"/>
      <c r="BT581" s="81"/>
      <c r="BU581" s="81"/>
      <c r="BV581" s="81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81"/>
      <c r="BS582" s="81"/>
      <c r="BT582" s="81"/>
      <c r="BU582" s="81"/>
      <c r="BV582" s="81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81"/>
      <c r="BS583" s="81"/>
      <c r="BT583" s="81"/>
      <c r="BU583" s="81"/>
      <c r="BV583" s="81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81"/>
      <c r="BS584" s="81"/>
      <c r="BT584" s="81"/>
      <c r="BU584" s="81"/>
      <c r="BV584" s="81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81"/>
      <c r="BS585" s="81"/>
      <c r="BT585" s="81"/>
      <c r="BU585" s="81"/>
      <c r="BV585" s="81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81"/>
      <c r="BS586" s="81"/>
      <c r="BT586" s="81"/>
      <c r="BU586" s="81"/>
      <c r="BV586" s="81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81"/>
      <c r="BS587" s="81"/>
      <c r="BT587" s="81"/>
      <c r="BU587" s="81"/>
      <c r="BV587" s="81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81"/>
      <c r="BS588" s="81"/>
      <c r="BT588" s="81"/>
      <c r="BU588" s="81"/>
      <c r="BV588" s="81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81"/>
      <c r="BS589" s="81"/>
      <c r="BT589" s="81"/>
      <c r="BU589" s="81"/>
      <c r="BV589" s="81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81"/>
      <c r="BS590" s="81"/>
      <c r="BT590" s="81"/>
      <c r="BU590" s="81"/>
      <c r="BV590" s="81"/>
      <c r="BW590" s="54"/>
      <c r="BX590" s="54"/>
      <c r="BY590" s="54"/>
      <c r="BZ590" s="54"/>
      <c r="CA590" s="54"/>
      <c r="CB590" s="54"/>
      <c r="CC590" s="54"/>
      <c r="CD590" s="54"/>
      <c r="CE590" s="54"/>
      <c r="CF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54"/>
      <c r="BR591" s="81"/>
      <c r="BS591" s="81"/>
      <c r="BT591" s="81"/>
      <c r="BU591" s="81"/>
      <c r="BV591" s="81"/>
      <c r="BW591" s="54"/>
      <c r="BX591" s="54"/>
      <c r="BY591" s="54"/>
      <c r="BZ591" s="54"/>
      <c r="CA591" s="54"/>
      <c r="CB591" s="54"/>
      <c r="CC591" s="54"/>
      <c r="CD591" s="54"/>
      <c r="CE591" s="54"/>
      <c r="CF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4"/>
      <c r="BP592" s="54"/>
      <c r="BQ592" s="54"/>
      <c r="BR592" s="81"/>
      <c r="BS592" s="81"/>
      <c r="BT592" s="81"/>
      <c r="BU592" s="81"/>
      <c r="BV592" s="81"/>
      <c r="BW592" s="54"/>
      <c r="BX592" s="54"/>
      <c r="BY592" s="54"/>
      <c r="BZ592" s="54"/>
      <c r="CA592" s="54"/>
      <c r="CB592" s="54"/>
      <c r="CC592" s="54"/>
      <c r="CD592" s="54"/>
      <c r="CE592" s="54"/>
      <c r="CF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  <c r="BR593" s="81"/>
      <c r="BS593" s="81"/>
      <c r="BT593" s="81"/>
      <c r="BU593" s="81"/>
      <c r="BV593" s="81"/>
      <c r="BW593" s="54"/>
      <c r="BX593" s="54"/>
      <c r="BY593" s="54"/>
      <c r="BZ593" s="54"/>
      <c r="CA593" s="54"/>
      <c r="CB593" s="54"/>
      <c r="CC593" s="54"/>
      <c r="CD593" s="54"/>
      <c r="CE593" s="54"/>
      <c r="CF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  <c r="BR594" s="81"/>
      <c r="BS594" s="81"/>
      <c r="BT594" s="81"/>
      <c r="BU594" s="81"/>
      <c r="BV594" s="81"/>
      <c r="BW594" s="54"/>
      <c r="BX594" s="54"/>
      <c r="BY594" s="54"/>
      <c r="BZ594" s="54"/>
      <c r="CA594" s="54"/>
      <c r="CB594" s="54"/>
      <c r="CC594" s="54"/>
      <c r="CD594" s="54"/>
      <c r="CE594" s="54"/>
      <c r="CF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4"/>
      <c r="BQ595" s="54"/>
      <c r="BR595" s="81"/>
      <c r="BS595" s="81"/>
      <c r="BT595" s="81"/>
      <c r="BU595" s="81"/>
      <c r="BV595" s="81"/>
      <c r="BW595" s="54"/>
      <c r="BX595" s="54"/>
      <c r="BY595" s="54"/>
      <c r="BZ595" s="54"/>
      <c r="CA595" s="54"/>
      <c r="CB595" s="54"/>
      <c r="CC595" s="54"/>
      <c r="CD595" s="54"/>
      <c r="CE595" s="54"/>
      <c r="CF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4"/>
      <c r="BQ596" s="54"/>
      <c r="BR596" s="81"/>
      <c r="BS596" s="81"/>
      <c r="BT596" s="81"/>
      <c r="BU596" s="81"/>
      <c r="BV596" s="81"/>
      <c r="BW596" s="54"/>
      <c r="BX596" s="54"/>
      <c r="BY596" s="54"/>
      <c r="BZ596" s="54"/>
      <c r="CA596" s="54"/>
      <c r="CB596" s="54"/>
      <c r="CC596" s="54"/>
      <c r="CD596" s="54"/>
      <c r="CE596" s="54"/>
      <c r="CF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54"/>
      <c r="BR597" s="81"/>
      <c r="BS597" s="81"/>
      <c r="BT597" s="81"/>
      <c r="BU597" s="81"/>
      <c r="BV597" s="81"/>
      <c r="BW597" s="54"/>
      <c r="BX597" s="54"/>
      <c r="BY597" s="54"/>
      <c r="BZ597" s="54"/>
      <c r="CA597" s="54"/>
      <c r="CB597" s="54"/>
      <c r="CC597" s="54"/>
      <c r="CD597" s="54"/>
      <c r="CE597" s="54"/>
      <c r="CF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  <c r="BR598" s="81"/>
      <c r="BS598" s="81"/>
      <c r="BT598" s="81"/>
      <c r="BU598" s="81"/>
      <c r="BV598" s="81"/>
      <c r="BW598" s="54"/>
      <c r="BX598" s="54"/>
      <c r="BY598" s="54"/>
      <c r="BZ598" s="54"/>
      <c r="CA598" s="54"/>
      <c r="CB598" s="54"/>
      <c r="CC598" s="54"/>
      <c r="CD598" s="54"/>
      <c r="CE598" s="54"/>
      <c r="CF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4"/>
      <c r="BQ599" s="54"/>
      <c r="BR599" s="81"/>
      <c r="BS599" s="81"/>
      <c r="BT599" s="81"/>
      <c r="BU599" s="81"/>
      <c r="BV599" s="81"/>
      <c r="BW599" s="54"/>
      <c r="BX599" s="54"/>
      <c r="BY599" s="54"/>
      <c r="BZ599" s="54"/>
      <c r="CA599" s="54"/>
      <c r="CB599" s="54"/>
      <c r="CC599" s="54"/>
      <c r="CD599" s="54"/>
      <c r="CE599" s="54"/>
      <c r="CF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4"/>
      <c r="BQ600" s="54"/>
      <c r="BR600" s="81"/>
      <c r="BS600" s="81"/>
      <c r="BT600" s="81"/>
      <c r="BU600" s="81"/>
      <c r="BV600" s="81"/>
      <c r="BW600" s="54"/>
      <c r="BX600" s="54"/>
      <c r="BY600" s="54"/>
      <c r="BZ600" s="54"/>
      <c r="CA600" s="54"/>
      <c r="CB600" s="54"/>
      <c r="CC600" s="54"/>
      <c r="CD600" s="54"/>
      <c r="CE600" s="54"/>
      <c r="CF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  <c r="BR601" s="81"/>
      <c r="BS601" s="81"/>
      <c r="BT601" s="81"/>
      <c r="BU601" s="81"/>
      <c r="BV601" s="81"/>
      <c r="BW601" s="54"/>
      <c r="BX601" s="54"/>
      <c r="BY601" s="54"/>
      <c r="BZ601" s="54"/>
      <c r="CA601" s="54"/>
      <c r="CB601" s="54"/>
      <c r="CC601" s="54"/>
      <c r="CD601" s="54"/>
      <c r="CE601" s="54"/>
      <c r="CF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4"/>
      <c r="BQ602" s="54"/>
      <c r="BR602" s="81"/>
      <c r="BS602" s="81"/>
      <c r="BT602" s="81"/>
      <c r="BU602" s="81"/>
      <c r="BV602" s="81"/>
      <c r="BW602" s="54"/>
      <c r="BX602" s="54"/>
      <c r="BY602" s="54"/>
      <c r="BZ602" s="54"/>
      <c r="CA602" s="54"/>
      <c r="CB602" s="54"/>
      <c r="CC602" s="54"/>
      <c r="CD602" s="54"/>
      <c r="CE602" s="54"/>
      <c r="CF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4"/>
      <c r="BQ603" s="54"/>
      <c r="BR603" s="81"/>
      <c r="BS603" s="81"/>
      <c r="BT603" s="81"/>
      <c r="BU603" s="81"/>
      <c r="BV603" s="81"/>
      <c r="BW603" s="54"/>
      <c r="BX603" s="54"/>
      <c r="BY603" s="54"/>
      <c r="BZ603" s="54"/>
      <c r="CA603" s="54"/>
      <c r="CB603" s="54"/>
      <c r="CC603" s="54"/>
      <c r="CD603" s="54"/>
      <c r="CE603" s="54"/>
      <c r="CF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54"/>
      <c r="BR604" s="81"/>
      <c r="BS604" s="81"/>
      <c r="BT604" s="81"/>
      <c r="BU604" s="81"/>
      <c r="BV604" s="81"/>
      <c r="BW604" s="54"/>
      <c r="BX604" s="54"/>
      <c r="BY604" s="54"/>
      <c r="BZ604" s="54"/>
      <c r="CA604" s="54"/>
      <c r="CB604" s="54"/>
      <c r="CC604" s="54"/>
      <c r="CD604" s="54"/>
      <c r="CE604" s="54"/>
      <c r="CF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54"/>
      <c r="BR605" s="81"/>
      <c r="BS605" s="81"/>
      <c r="BT605" s="81"/>
      <c r="BU605" s="81"/>
      <c r="BV605" s="81"/>
      <c r="BW605" s="54"/>
      <c r="BX605" s="54"/>
      <c r="BY605" s="54"/>
      <c r="BZ605" s="54"/>
      <c r="CA605" s="54"/>
      <c r="CB605" s="54"/>
      <c r="CC605" s="54"/>
      <c r="CD605" s="54"/>
      <c r="CE605" s="54"/>
      <c r="CF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4"/>
      <c r="BQ606" s="54"/>
      <c r="BR606" s="81"/>
      <c r="BS606" s="81"/>
      <c r="BT606" s="81"/>
      <c r="BU606" s="81"/>
      <c r="BV606" s="81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4"/>
      <c r="BQ607" s="54"/>
      <c r="BR607" s="81"/>
      <c r="BS607" s="81"/>
      <c r="BT607" s="81"/>
      <c r="BU607" s="81"/>
      <c r="BV607" s="81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54"/>
      <c r="BR608" s="81"/>
      <c r="BS608" s="81"/>
      <c r="BT608" s="81"/>
      <c r="BU608" s="81"/>
      <c r="BV608" s="81"/>
      <c r="BW608" s="54"/>
      <c r="BX608" s="54"/>
      <c r="BY608" s="54"/>
      <c r="BZ608" s="54"/>
      <c r="CA608" s="54"/>
      <c r="CB608" s="54"/>
      <c r="CC608" s="54"/>
      <c r="CD608" s="54"/>
      <c r="CE608" s="54"/>
      <c r="CF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4"/>
      <c r="BQ609" s="54"/>
      <c r="BR609" s="81"/>
      <c r="BS609" s="81"/>
      <c r="BT609" s="81"/>
      <c r="BU609" s="81"/>
      <c r="BV609" s="81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81"/>
      <c r="BS610" s="81"/>
      <c r="BT610" s="81"/>
      <c r="BU610" s="81"/>
      <c r="BV610" s="81"/>
      <c r="BW610" s="54"/>
      <c r="BX610" s="54"/>
      <c r="BY610" s="54"/>
      <c r="BZ610" s="54"/>
      <c r="CA610" s="54"/>
      <c r="CB610" s="54"/>
      <c r="CC610" s="54"/>
      <c r="CD610" s="54"/>
      <c r="CE610" s="54"/>
      <c r="CF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81"/>
      <c r="BS611" s="81"/>
      <c r="BT611" s="81"/>
      <c r="BU611" s="81"/>
      <c r="BV611" s="81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81"/>
      <c r="BS612" s="81"/>
      <c r="BT612" s="81"/>
      <c r="BU612" s="81"/>
      <c r="BV612" s="81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81"/>
      <c r="BS613" s="81"/>
      <c r="BT613" s="81"/>
      <c r="BU613" s="81"/>
      <c r="BV613" s="81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81"/>
      <c r="BS614" s="81"/>
      <c r="BT614" s="81"/>
      <c r="BU614" s="81"/>
      <c r="BV614" s="81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81"/>
      <c r="BS615" s="81"/>
      <c r="BT615" s="81"/>
      <c r="BU615" s="81"/>
      <c r="BV615" s="81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81"/>
      <c r="BS616" s="81"/>
      <c r="BT616" s="81"/>
      <c r="BU616" s="81"/>
      <c r="BV616" s="81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81"/>
      <c r="BS617" s="81"/>
      <c r="BT617" s="81"/>
      <c r="BU617" s="81"/>
      <c r="BV617" s="81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81"/>
      <c r="BS618" s="81"/>
      <c r="BT618" s="81"/>
      <c r="BU618" s="81"/>
      <c r="BV618" s="81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81"/>
      <c r="BS619" s="81"/>
      <c r="BT619" s="81"/>
      <c r="BU619" s="81"/>
      <c r="BV619" s="81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81"/>
      <c r="BS620" s="81"/>
      <c r="BT620" s="81"/>
      <c r="BU620" s="81"/>
      <c r="BV620" s="81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81"/>
      <c r="BS621" s="81"/>
      <c r="BT621" s="81"/>
      <c r="BU621" s="81"/>
      <c r="BV621" s="81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81"/>
      <c r="BS622" s="81"/>
      <c r="BT622" s="81"/>
      <c r="BU622" s="81"/>
      <c r="BV622" s="81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81"/>
      <c r="BS623" s="81"/>
      <c r="BT623" s="81"/>
      <c r="BU623" s="81"/>
      <c r="BV623" s="81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81"/>
      <c r="BS624" s="81"/>
      <c r="BT624" s="81"/>
      <c r="BU624" s="81"/>
      <c r="BV624" s="81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81"/>
      <c r="BS625" s="81"/>
      <c r="BT625" s="81"/>
      <c r="BU625" s="81"/>
      <c r="BV625" s="81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81"/>
      <c r="BS626" s="81"/>
      <c r="BT626" s="81"/>
      <c r="BU626" s="81"/>
      <c r="BV626" s="81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81"/>
      <c r="BS627" s="81"/>
      <c r="BT627" s="81"/>
      <c r="BU627" s="81"/>
      <c r="BV627" s="81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4"/>
      <c r="BQ628" s="54"/>
      <c r="BR628" s="81"/>
      <c r="BS628" s="81"/>
      <c r="BT628" s="81"/>
      <c r="BU628" s="81"/>
      <c r="BV628" s="81"/>
      <c r="BW628" s="54"/>
      <c r="BX628" s="54"/>
      <c r="BY628" s="54"/>
      <c r="BZ628" s="54"/>
      <c r="CA628" s="54"/>
      <c r="CB628" s="54"/>
      <c r="CC628" s="54"/>
      <c r="CD628" s="54"/>
      <c r="CE628" s="54"/>
      <c r="CF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54"/>
      <c r="BR629" s="81"/>
      <c r="BS629" s="81"/>
      <c r="BT629" s="81"/>
      <c r="BU629" s="81"/>
      <c r="BV629" s="81"/>
      <c r="BW629" s="54"/>
      <c r="BX629" s="54"/>
      <c r="BY629" s="54"/>
      <c r="BZ629" s="54"/>
      <c r="CA629" s="54"/>
      <c r="CB629" s="54"/>
      <c r="CC629" s="54"/>
      <c r="CD629" s="54"/>
      <c r="CE629" s="54"/>
      <c r="CF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4"/>
      <c r="BQ630" s="54"/>
      <c r="BR630" s="81"/>
      <c r="BS630" s="81"/>
      <c r="BT630" s="81"/>
      <c r="BU630" s="81"/>
      <c r="BV630" s="81"/>
      <c r="BW630" s="54"/>
      <c r="BX630" s="54"/>
      <c r="BY630" s="54"/>
      <c r="BZ630" s="54"/>
      <c r="CA630" s="54"/>
      <c r="CB630" s="54"/>
      <c r="CC630" s="54"/>
      <c r="CD630" s="54"/>
      <c r="CE630" s="54"/>
      <c r="CF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4"/>
      <c r="BQ631" s="54"/>
      <c r="BR631" s="81"/>
      <c r="BS631" s="81"/>
      <c r="BT631" s="81"/>
      <c r="BU631" s="81"/>
      <c r="BV631" s="81"/>
      <c r="BW631" s="54"/>
      <c r="BX631" s="54"/>
      <c r="BY631" s="54"/>
      <c r="BZ631" s="54"/>
      <c r="CA631" s="54"/>
      <c r="CB631" s="54"/>
      <c r="CC631" s="54"/>
      <c r="CD631" s="54"/>
      <c r="CE631" s="54"/>
      <c r="CF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  <c r="BR632" s="81"/>
      <c r="BS632" s="81"/>
      <c r="BT632" s="81"/>
      <c r="BU632" s="81"/>
      <c r="BV632" s="81"/>
      <c r="BW632" s="54"/>
      <c r="BX632" s="54"/>
      <c r="BY632" s="54"/>
      <c r="BZ632" s="54"/>
      <c r="CA632" s="54"/>
      <c r="CB632" s="54"/>
      <c r="CC632" s="54"/>
      <c r="CD632" s="54"/>
      <c r="CE632" s="54"/>
      <c r="CF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54"/>
      <c r="BR633" s="81"/>
      <c r="BS633" s="81"/>
      <c r="BT633" s="81"/>
      <c r="BU633" s="81"/>
      <c r="BV633" s="81"/>
      <c r="BW633" s="54"/>
      <c r="BX633" s="54"/>
      <c r="BY633" s="54"/>
      <c r="BZ633" s="54"/>
      <c r="CA633" s="54"/>
      <c r="CB633" s="54"/>
      <c r="CC633" s="54"/>
      <c r="CD633" s="54"/>
      <c r="CE633" s="54"/>
      <c r="CF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4"/>
      <c r="BQ634" s="54"/>
      <c r="BR634" s="81"/>
      <c r="BS634" s="81"/>
      <c r="BT634" s="81"/>
      <c r="BU634" s="81"/>
      <c r="BV634" s="81"/>
      <c r="BW634" s="54"/>
      <c r="BX634" s="54"/>
      <c r="BY634" s="54"/>
      <c r="BZ634" s="54"/>
      <c r="CA634" s="54"/>
      <c r="CB634" s="54"/>
      <c r="CC634" s="54"/>
      <c r="CD634" s="54"/>
      <c r="CE634" s="54"/>
      <c r="CF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54"/>
      <c r="BR635" s="81"/>
      <c r="BS635" s="81"/>
      <c r="BT635" s="81"/>
      <c r="BU635" s="81"/>
      <c r="BV635" s="81"/>
      <c r="BW635" s="54"/>
      <c r="BX635" s="54"/>
      <c r="BY635" s="54"/>
      <c r="BZ635" s="54"/>
      <c r="CA635" s="54"/>
      <c r="CB635" s="54"/>
      <c r="CC635" s="54"/>
      <c r="CD635" s="54"/>
      <c r="CE635" s="54"/>
      <c r="CF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54"/>
      <c r="BR636" s="81"/>
      <c r="BS636" s="81"/>
      <c r="BT636" s="81"/>
      <c r="BU636" s="81"/>
      <c r="BV636" s="81"/>
      <c r="BW636" s="54"/>
      <c r="BX636" s="54"/>
      <c r="BY636" s="54"/>
      <c r="BZ636" s="54"/>
      <c r="CA636" s="54"/>
      <c r="CB636" s="54"/>
      <c r="CC636" s="54"/>
      <c r="CD636" s="54"/>
      <c r="CE636" s="54"/>
      <c r="CF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4"/>
      <c r="BQ637" s="54"/>
      <c r="BR637" s="81"/>
      <c r="BS637" s="81"/>
      <c r="BT637" s="81"/>
      <c r="BU637" s="81"/>
      <c r="BV637" s="81"/>
      <c r="BW637" s="54"/>
      <c r="BX637" s="54"/>
      <c r="BY637" s="54"/>
      <c r="BZ637" s="54"/>
      <c r="CA637" s="54"/>
      <c r="CB637" s="54"/>
      <c r="CC637" s="54"/>
      <c r="CD637" s="54"/>
      <c r="CE637" s="54"/>
      <c r="CF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54"/>
      <c r="BR638" s="81"/>
      <c r="BS638" s="81"/>
      <c r="BT638" s="81"/>
      <c r="BU638" s="81"/>
      <c r="BV638" s="81"/>
      <c r="BW638" s="54"/>
      <c r="BX638" s="54"/>
      <c r="BY638" s="54"/>
      <c r="BZ638" s="54"/>
      <c r="CA638" s="54"/>
      <c r="CB638" s="54"/>
      <c r="CC638" s="54"/>
      <c r="CD638" s="54"/>
      <c r="CE638" s="54"/>
      <c r="CF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54"/>
      <c r="BR639" s="81"/>
      <c r="BS639" s="81"/>
      <c r="BT639" s="81"/>
      <c r="BU639" s="81"/>
      <c r="BV639" s="81"/>
      <c r="BW639" s="54"/>
      <c r="BX639" s="54"/>
      <c r="BY639" s="54"/>
      <c r="BZ639" s="54"/>
      <c r="CA639" s="54"/>
      <c r="CB639" s="54"/>
      <c r="CC639" s="54"/>
      <c r="CD639" s="54"/>
      <c r="CE639" s="54"/>
      <c r="CF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54"/>
      <c r="BR640" s="81"/>
      <c r="BS640" s="81"/>
      <c r="BT640" s="81"/>
      <c r="BU640" s="81"/>
      <c r="BV640" s="81"/>
      <c r="BW640" s="54"/>
      <c r="BX640" s="54"/>
      <c r="BY640" s="54"/>
      <c r="BZ640" s="54"/>
      <c r="CA640" s="54"/>
      <c r="CB640" s="54"/>
      <c r="CC640" s="54"/>
      <c r="CD640" s="54"/>
      <c r="CE640" s="54"/>
      <c r="CF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54"/>
      <c r="BR641" s="81"/>
      <c r="BS641" s="81"/>
      <c r="BT641" s="81"/>
      <c r="BU641" s="81"/>
      <c r="BV641" s="81"/>
      <c r="BW641" s="54"/>
      <c r="BX641" s="54"/>
      <c r="BY641" s="54"/>
      <c r="BZ641" s="54"/>
      <c r="CA641" s="54"/>
      <c r="CB641" s="54"/>
      <c r="CC641" s="54"/>
      <c r="CD641" s="54"/>
      <c r="CE641" s="54"/>
      <c r="CF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4"/>
      <c r="BQ642" s="54"/>
      <c r="BR642" s="81"/>
      <c r="BS642" s="81"/>
      <c r="BT642" s="81"/>
      <c r="BU642" s="81"/>
      <c r="BV642" s="81"/>
      <c r="BW642" s="54"/>
      <c r="BX642" s="54"/>
      <c r="BY642" s="54"/>
      <c r="BZ642" s="54"/>
      <c r="CA642" s="54"/>
      <c r="CB642" s="54"/>
      <c r="CC642" s="54"/>
      <c r="CD642" s="54"/>
      <c r="CE642" s="54"/>
      <c r="CF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54"/>
      <c r="BR643" s="81"/>
      <c r="BS643" s="81"/>
      <c r="BT643" s="81"/>
      <c r="BU643" s="81"/>
      <c r="BV643" s="81"/>
      <c r="BW643" s="54"/>
      <c r="BX643" s="54"/>
      <c r="BY643" s="54"/>
      <c r="BZ643" s="54"/>
      <c r="CA643" s="54"/>
      <c r="CB643" s="54"/>
      <c r="CC643" s="54"/>
      <c r="CD643" s="54"/>
      <c r="CE643" s="54"/>
      <c r="CF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4"/>
      <c r="BQ644" s="54"/>
      <c r="BR644" s="81"/>
      <c r="BS644" s="81"/>
      <c r="BT644" s="81"/>
      <c r="BU644" s="81"/>
      <c r="BV644" s="81"/>
      <c r="BW644" s="54"/>
      <c r="BX644" s="54"/>
      <c r="BY644" s="54"/>
      <c r="BZ644" s="54"/>
      <c r="CA644" s="54"/>
      <c r="CB644" s="54"/>
      <c r="CC644" s="54"/>
      <c r="CD644" s="54"/>
      <c r="CE644" s="54"/>
      <c r="CF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4"/>
      <c r="BQ645" s="54"/>
      <c r="BR645" s="81"/>
      <c r="BS645" s="81"/>
      <c r="BT645" s="81"/>
      <c r="BU645" s="81"/>
      <c r="BV645" s="81"/>
      <c r="BW645" s="54"/>
      <c r="BX645" s="54"/>
      <c r="BY645" s="54"/>
      <c r="BZ645" s="54"/>
      <c r="CA645" s="54"/>
      <c r="CB645" s="54"/>
      <c r="CC645" s="54"/>
      <c r="CD645" s="54"/>
      <c r="CE645" s="54"/>
      <c r="CF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54"/>
      <c r="BR646" s="81"/>
      <c r="BS646" s="81"/>
      <c r="BT646" s="81"/>
      <c r="BU646" s="81"/>
      <c r="BV646" s="81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54"/>
      <c r="BR647" s="81"/>
      <c r="BS647" s="81"/>
      <c r="BT647" s="81"/>
      <c r="BU647" s="81"/>
      <c r="BV647" s="81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4"/>
      <c r="BQ648" s="54"/>
      <c r="BR648" s="81"/>
      <c r="BS648" s="81"/>
      <c r="BT648" s="81"/>
      <c r="BU648" s="81"/>
      <c r="BV648" s="81"/>
      <c r="BW648" s="54"/>
      <c r="BX648" s="54"/>
      <c r="BY648" s="54"/>
      <c r="BZ648" s="54"/>
      <c r="CA648" s="54"/>
      <c r="CB648" s="54"/>
      <c r="CC648" s="54"/>
      <c r="CD648" s="54"/>
      <c r="CE648" s="54"/>
      <c r="CF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4"/>
      <c r="BQ649" s="54"/>
      <c r="BR649" s="81"/>
      <c r="BS649" s="81"/>
      <c r="BT649" s="81"/>
      <c r="BU649" s="81"/>
      <c r="BV649" s="81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81"/>
      <c r="BS650" s="81"/>
      <c r="BT650" s="81"/>
      <c r="BU650" s="81"/>
      <c r="BV650" s="81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81"/>
      <c r="BS651" s="81"/>
      <c r="BT651" s="81"/>
      <c r="BU651" s="81"/>
      <c r="BV651" s="81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81"/>
      <c r="BS652" s="81"/>
      <c r="BT652" s="81"/>
      <c r="BU652" s="81"/>
      <c r="BV652" s="81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81"/>
      <c r="BS653" s="81"/>
      <c r="BT653" s="81"/>
      <c r="BU653" s="81"/>
      <c r="BV653" s="81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81"/>
      <c r="BS654" s="81"/>
      <c r="BT654" s="81"/>
      <c r="BU654" s="81"/>
      <c r="BV654" s="81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81"/>
      <c r="BS655" s="81"/>
      <c r="BT655" s="81"/>
      <c r="BU655" s="81"/>
      <c r="BV655" s="81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81"/>
      <c r="BS656" s="81"/>
      <c r="BT656" s="81"/>
      <c r="BU656" s="81"/>
      <c r="BV656" s="81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81"/>
      <c r="BS657" s="81"/>
      <c r="BT657" s="81"/>
      <c r="BU657" s="81"/>
      <c r="BV657" s="81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81"/>
      <c r="BS658" s="81"/>
      <c r="BT658" s="81"/>
      <c r="BU658" s="81"/>
      <c r="BV658" s="81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81"/>
      <c r="BS659" s="81"/>
      <c r="BT659" s="81"/>
      <c r="BU659" s="81"/>
      <c r="BV659" s="81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81"/>
      <c r="BS660" s="81"/>
      <c r="BT660" s="81"/>
      <c r="BU660" s="81"/>
      <c r="BV660" s="81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81"/>
      <c r="BS661" s="81"/>
      <c r="BT661" s="81"/>
      <c r="BU661" s="81"/>
      <c r="BV661" s="81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81"/>
      <c r="BS662" s="81"/>
      <c r="BT662" s="81"/>
      <c r="BU662" s="81"/>
      <c r="BV662" s="81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81"/>
      <c r="BS663" s="81"/>
      <c r="BT663" s="81"/>
      <c r="BU663" s="81"/>
      <c r="BV663" s="81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81"/>
      <c r="BS664" s="81"/>
      <c r="BT664" s="81"/>
      <c r="BU664" s="81"/>
      <c r="BV664" s="81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81"/>
      <c r="BS665" s="81"/>
      <c r="BT665" s="81"/>
      <c r="BU665" s="81"/>
      <c r="BV665" s="81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4"/>
      <c r="BQ666" s="54"/>
      <c r="BR666" s="81"/>
      <c r="BS666" s="81"/>
      <c r="BT666" s="81"/>
      <c r="BU666" s="81"/>
      <c r="BV666" s="81"/>
      <c r="BW666" s="54"/>
      <c r="BX666" s="54"/>
      <c r="BY666" s="54"/>
      <c r="BZ666" s="54"/>
      <c r="CA666" s="54"/>
      <c r="CB666" s="54"/>
      <c r="CC666" s="54"/>
      <c r="CD666" s="54"/>
      <c r="CE666" s="54"/>
      <c r="CF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54"/>
      <c r="BR667" s="81"/>
      <c r="BS667" s="81"/>
      <c r="BT667" s="81"/>
      <c r="BU667" s="81"/>
      <c r="BV667" s="81"/>
      <c r="BW667" s="54"/>
      <c r="BX667" s="54"/>
      <c r="BY667" s="54"/>
      <c r="BZ667" s="54"/>
      <c r="CA667" s="54"/>
      <c r="CB667" s="54"/>
      <c r="CC667" s="54"/>
      <c r="CD667" s="54"/>
      <c r="CE667" s="54"/>
      <c r="CF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  <c r="BR668" s="81"/>
      <c r="BS668" s="81"/>
      <c r="BT668" s="81"/>
      <c r="BU668" s="81"/>
      <c r="BV668" s="81"/>
      <c r="BW668" s="54"/>
      <c r="BX668" s="54"/>
      <c r="BY668" s="54"/>
      <c r="BZ668" s="54"/>
      <c r="CA668" s="54"/>
      <c r="CB668" s="54"/>
      <c r="CC668" s="54"/>
      <c r="CD668" s="54"/>
      <c r="CE668" s="54"/>
      <c r="CF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4"/>
      <c r="BQ669" s="54"/>
      <c r="BR669" s="81"/>
      <c r="BS669" s="81"/>
      <c r="BT669" s="81"/>
      <c r="BU669" s="81"/>
      <c r="BV669" s="81"/>
      <c r="BW669" s="54"/>
      <c r="BX669" s="54"/>
      <c r="BY669" s="54"/>
      <c r="BZ669" s="54"/>
      <c r="CA669" s="54"/>
      <c r="CB669" s="54"/>
      <c r="CC669" s="54"/>
      <c r="CD669" s="54"/>
      <c r="CE669" s="54"/>
      <c r="CF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4"/>
      <c r="BQ670" s="54"/>
      <c r="BR670" s="81"/>
      <c r="BS670" s="81"/>
      <c r="BT670" s="81"/>
      <c r="BU670" s="81"/>
      <c r="BV670" s="81"/>
      <c r="BW670" s="54"/>
      <c r="BX670" s="54"/>
      <c r="BY670" s="54"/>
      <c r="BZ670" s="54"/>
      <c r="CA670" s="54"/>
      <c r="CB670" s="54"/>
      <c r="CC670" s="54"/>
      <c r="CD670" s="54"/>
      <c r="CE670" s="54"/>
      <c r="CF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54"/>
      <c r="BR671" s="81"/>
      <c r="BS671" s="81"/>
      <c r="BT671" s="81"/>
      <c r="BU671" s="81"/>
      <c r="BV671" s="81"/>
      <c r="BW671" s="54"/>
      <c r="BX671" s="54"/>
      <c r="BY671" s="54"/>
      <c r="BZ671" s="54"/>
      <c r="CA671" s="54"/>
      <c r="CB671" s="54"/>
      <c r="CC671" s="54"/>
      <c r="CD671" s="54"/>
      <c r="CE671" s="54"/>
      <c r="CF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4"/>
      <c r="BQ672" s="54"/>
      <c r="BR672" s="81"/>
      <c r="BS672" s="81"/>
      <c r="BT672" s="81"/>
      <c r="BU672" s="81"/>
      <c r="BV672" s="81"/>
      <c r="BW672" s="54"/>
      <c r="BX672" s="54"/>
      <c r="BY672" s="54"/>
      <c r="BZ672" s="54"/>
      <c r="CA672" s="54"/>
      <c r="CB672" s="54"/>
      <c r="CC672" s="54"/>
      <c r="CD672" s="54"/>
      <c r="CE672" s="54"/>
      <c r="CF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4"/>
      <c r="BQ673" s="54"/>
      <c r="BR673" s="81"/>
      <c r="BS673" s="81"/>
      <c r="BT673" s="81"/>
      <c r="BU673" s="81"/>
      <c r="BV673" s="81"/>
      <c r="BW673" s="54"/>
      <c r="BX673" s="54"/>
      <c r="BY673" s="54"/>
      <c r="BZ673" s="54"/>
      <c r="CA673" s="54"/>
      <c r="CB673" s="54"/>
      <c r="CC673" s="54"/>
      <c r="CD673" s="54"/>
      <c r="CE673" s="54"/>
      <c r="CF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54"/>
      <c r="BR674" s="81"/>
      <c r="BS674" s="81"/>
      <c r="BT674" s="81"/>
      <c r="BU674" s="81"/>
      <c r="BV674" s="81"/>
      <c r="BW674" s="54"/>
      <c r="BX674" s="54"/>
      <c r="BY674" s="54"/>
      <c r="BZ674" s="54"/>
      <c r="CA674" s="54"/>
      <c r="CB674" s="54"/>
      <c r="CC674" s="54"/>
      <c r="CD674" s="54"/>
      <c r="CE674" s="54"/>
      <c r="CF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54"/>
      <c r="BR675" s="81"/>
      <c r="BS675" s="81"/>
      <c r="BT675" s="81"/>
      <c r="BU675" s="81"/>
      <c r="BV675" s="81"/>
      <c r="BW675" s="54"/>
      <c r="BX675" s="54"/>
      <c r="BY675" s="54"/>
      <c r="BZ675" s="54"/>
      <c r="CA675" s="54"/>
      <c r="CB675" s="54"/>
      <c r="CC675" s="54"/>
      <c r="CD675" s="54"/>
      <c r="CE675" s="54"/>
      <c r="CF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4"/>
      <c r="BQ676" s="54"/>
      <c r="BR676" s="81"/>
      <c r="BS676" s="81"/>
      <c r="BT676" s="81"/>
      <c r="BU676" s="81"/>
      <c r="BV676" s="81"/>
      <c r="BW676" s="54"/>
      <c r="BX676" s="54"/>
      <c r="BY676" s="54"/>
      <c r="BZ676" s="54"/>
      <c r="CA676" s="54"/>
      <c r="CB676" s="54"/>
      <c r="CC676" s="54"/>
      <c r="CD676" s="54"/>
      <c r="CE676" s="54"/>
      <c r="CF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  <c r="BR677" s="81"/>
      <c r="BS677" s="81"/>
      <c r="BT677" s="81"/>
      <c r="BU677" s="81"/>
      <c r="BV677" s="81"/>
      <c r="BW677" s="54"/>
      <c r="BX677" s="54"/>
      <c r="BY677" s="54"/>
      <c r="BZ677" s="54"/>
      <c r="CA677" s="54"/>
      <c r="CB677" s="54"/>
      <c r="CC677" s="54"/>
      <c r="CD677" s="54"/>
      <c r="CE677" s="54"/>
      <c r="CF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54"/>
      <c r="BR678" s="81"/>
      <c r="BS678" s="81"/>
      <c r="BT678" s="81"/>
      <c r="BU678" s="81"/>
      <c r="BV678" s="81"/>
      <c r="BW678" s="54"/>
      <c r="BX678" s="54"/>
      <c r="BY678" s="54"/>
      <c r="BZ678" s="54"/>
      <c r="CA678" s="54"/>
      <c r="CB678" s="54"/>
      <c r="CC678" s="54"/>
      <c r="CD678" s="54"/>
      <c r="CE678" s="54"/>
      <c r="CF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4"/>
      <c r="BQ679" s="54"/>
      <c r="BR679" s="81"/>
      <c r="BS679" s="81"/>
      <c r="BT679" s="81"/>
      <c r="BU679" s="81"/>
      <c r="BV679" s="81"/>
      <c r="BW679" s="54"/>
      <c r="BX679" s="54"/>
      <c r="BY679" s="54"/>
      <c r="BZ679" s="54"/>
      <c r="CA679" s="54"/>
      <c r="CB679" s="54"/>
      <c r="CC679" s="54"/>
      <c r="CD679" s="54"/>
      <c r="CE679" s="54"/>
      <c r="CF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54"/>
      <c r="BR680" s="81"/>
      <c r="BS680" s="81"/>
      <c r="BT680" s="81"/>
      <c r="BU680" s="81"/>
      <c r="BV680" s="81"/>
      <c r="BW680" s="54"/>
      <c r="BX680" s="54"/>
      <c r="BY680" s="54"/>
      <c r="BZ680" s="54"/>
      <c r="CA680" s="54"/>
      <c r="CB680" s="54"/>
      <c r="CC680" s="54"/>
      <c r="CD680" s="54"/>
      <c r="CE680" s="54"/>
      <c r="CF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54"/>
      <c r="BR681" s="81"/>
      <c r="BS681" s="81"/>
      <c r="BT681" s="81"/>
      <c r="BU681" s="81"/>
      <c r="BV681" s="81"/>
      <c r="BW681" s="54"/>
      <c r="BX681" s="54"/>
      <c r="BY681" s="54"/>
      <c r="BZ681" s="54"/>
      <c r="CA681" s="54"/>
      <c r="CB681" s="54"/>
      <c r="CC681" s="54"/>
      <c r="CD681" s="54"/>
      <c r="CE681" s="54"/>
      <c r="CF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54"/>
      <c r="BR682" s="81"/>
      <c r="BS682" s="81"/>
      <c r="BT682" s="81"/>
      <c r="BU682" s="81"/>
      <c r="BV682" s="81"/>
      <c r="BW682" s="54"/>
      <c r="BX682" s="54"/>
      <c r="BY682" s="54"/>
      <c r="BZ682" s="54"/>
      <c r="CA682" s="54"/>
      <c r="CB682" s="54"/>
      <c r="CC682" s="54"/>
      <c r="CD682" s="54"/>
      <c r="CE682" s="54"/>
      <c r="CF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54"/>
      <c r="BR683" s="81"/>
      <c r="BS683" s="81"/>
      <c r="BT683" s="81"/>
      <c r="BU683" s="81"/>
      <c r="BV683" s="81"/>
      <c r="BW683" s="54"/>
      <c r="BX683" s="54"/>
      <c r="BY683" s="54"/>
      <c r="BZ683" s="54"/>
      <c r="CA683" s="54"/>
      <c r="CB683" s="54"/>
      <c r="CC683" s="54"/>
      <c r="CD683" s="54"/>
      <c r="CE683" s="54"/>
      <c r="CF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4"/>
      <c r="BQ684" s="54"/>
      <c r="BR684" s="81"/>
      <c r="BS684" s="81"/>
      <c r="BT684" s="81"/>
      <c r="BU684" s="81"/>
      <c r="BV684" s="81"/>
      <c r="BW684" s="54"/>
      <c r="BX684" s="54"/>
      <c r="BY684" s="54"/>
      <c r="BZ684" s="54"/>
      <c r="CA684" s="54"/>
      <c r="CB684" s="54"/>
      <c r="CC684" s="54"/>
      <c r="CD684" s="54"/>
      <c r="CE684" s="54"/>
      <c r="CF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54"/>
      <c r="BR685" s="81"/>
      <c r="BS685" s="81"/>
      <c r="BT685" s="81"/>
      <c r="BU685" s="81"/>
      <c r="BV685" s="81"/>
      <c r="BW685" s="54"/>
      <c r="BX685" s="54"/>
      <c r="BY685" s="54"/>
      <c r="BZ685" s="54"/>
      <c r="CA685" s="54"/>
      <c r="CB685" s="54"/>
      <c r="CC685" s="54"/>
      <c r="CD685" s="54"/>
      <c r="CE685" s="54"/>
      <c r="CF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54"/>
      <c r="BR686" s="81"/>
      <c r="BS686" s="81"/>
      <c r="BT686" s="81"/>
      <c r="BU686" s="81"/>
      <c r="BV686" s="81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54"/>
      <c r="BR687" s="81"/>
      <c r="BS687" s="81"/>
      <c r="BT687" s="81"/>
      <c r="BU687" s="81"/>
      <c r="BV687" s="81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54"/>
      <c r="BR688" s="81"/>
      <c r="BS688" s="81"/>
      <c r="BT688" s="81"/>
      <c r="BU688" s="81"/>
      <c r="BV688" s="81"/>
      <c r="BW688" s="54"/>
      <c r="BX688" s="54"/>
      <c r="BY688" s="54"/>
      <c r="BZ688" s="54"/>
      <c r="CA688" s="54"/>
      <c r="CB688" s="54"/>
      <c r="CC688" s="54"/>
      <c r="CD688" s="54"/>
      <c r="CE688" s="54"/>
      <c r="CF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  <c r="BR689" s="81"/>
      <c r="BS689" s="81"/>
      <c r="BT689" s="81"/>
      <c r="BU689" s="81"/>
      <c r="BV689" s="81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81"/>
      <c r="BS690" s="81"/>
      <c r="BT690" s="81"/>
      <c r="BU690" s="81"/>
      <c r="BV690" s="81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81"/>
      <c r="BS691" s="81"/>
      <c r="BT691" s="81"/>
      <c r="BU691" s="81"/>
      <c r="BV691" s="81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81"/>
      <c r="BS692" s="81"/>
      <c r="BT692" s="81"/>
      <c r="BU692" s="81"/>
      <c r="BV692" s="81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81"/>
      <c r="BS693" s="81"/>
      <c r="BT693" s="81"/>
      <c r="BU693" s="81"/>
      <c r="BV693" s="81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81"/>
      <c r="BS694" s="81"/>
      <c r="BT694" s="81"/>
      <c r="BU694" s="81"/>
      <c r="BV694" s="81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81"/>
      <c r="BS695" s="81"/>
      <c r="BT695" s="81"/>
      <c r="BU695" s="81"/>
      <c r="BV695" s="81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81"/>
      <c r="BS696" s="81"/>
      <c r="BT696" s="81"/>
      <c r="BU696" s="81"/>
      <c r="BV696" s="81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81"/>
      <c r="BS697" s="81"/>
      <c r="BT697" s="81"/>
      <c r="BU697" s="81"/>
      <c r="BV697" s="81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81"/>
      <c r="BS698" s="81"/>
      <c r="BT698" s="81"/>
      <c r="BU698" s="81"/>
      <c r="BV698" s="81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81"/>
      <c r="BS699" s="81"/>
      <c r="BT699" s="81"/>
      <c r="BU699" s="81"/>
      <c r="BV699" s="81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81"/>
      <c r="BS700" s="81"/>
      <c r="BT700" s="81"/>
      <c r="BU700" s="81"/>
      <c r="BV700" s="81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81"/>
      <c r="BS701" s="81"/>
      <c r="BT701" s="81"/>
      <c r="BU701" s="81"/>
      <c r="BV701" s="81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81"/>
      <c r="BS702" s="81"/>
      <c r="BT702" s="81"/>
      <c r="BU702" s="81"/>
      <c r="BV702" s="81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81"/>
      <c r="BS703" s="81"/>
      <c r="BT703" s="81"/>
      <c r="BU703" s="81"/>
      <c r="BV703" s="81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  <c r="BR704" s="81"/>
      <c r="BS704" s="81"/>
      <c r="BT704" s="81"/>
      <c r="BU704" s="81"/>
      <c r="BV704" s="81"/>
      <c r="BW704" s="54"/>
      <c r="BX704" s="54"/>
      <c r="BY704" s="54"/>
      <c r="BZ704" s="54"/>
      <c r="CA704" s="54"/>
      <c r="CB704" s="54"/>
      <c r="CC704" s="54"/>
      <c r="CD704" s="54"/>
      <c r="CE704" s="54"/>
      <c r="CF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54"/>
      <c r="BR705" s="81"/>
      <c r="BS705" s="81"/>
      <c r="BT705" s="81"/>
      <c r="BU705" s="81"/>
      <c r="BV705" s="81"/>
      <c r="BW705" s="54"/>
      <c r="BX705" s="54"/>
      <c r="BY705" s="54"/>
      <c r="BZ705" s="54"/>
      <c r="CA705" s="54"/>
      <c r="CB705" s="54"/>
      <c r="CC705" s="54"/>
      <c r="CD705" s="54"/>
      <c r="CE705" s="54"/>
      <c r="CF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  <c r="BR706" s="81"/>
      <c r="BS706" s="81"/>
      <c r="BT706" s="81"/>
      <c r="BU706" s="81"/>
      <c r="BV706" s="81"/>
      <c r="BW706" s="54"/>
      <c r="BX706" s="54"/>
      <c r="BY706" s="54"/>
      <c r="BZ706" s="54"/>
      <c r="CA706" s="54"/>
      <c r="CB706" s="54"/>
      <c r="CC706" s="54"/>
      <c r="CD706" s="54"/>
      <c r="CE706" s="54"/>
      <c r="CF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  <c r="BR707" s="81"/>
      <c r="BS707" s="81"/>
      <c r="BT707" s="81"/>
      <c r="BU707" s="81"/>
      <c r="BV707" s="81"/>
      <c r="BW707" s="54"/>
      <c r="BX707" s="54"/>
      <c r="BY707" s="54"/>
      <c r="BZ707" s="54"/>
      <c r="CA707" s="54"/>
      <c r="CB707" s="54"/>
      <c r="CC707" s="54"/>
      <c r="CD707" s="54"/>
      <c r="CE707" s="54"/>
      <c r="CF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54"/>
      <c r="BR708" s="81"/>
      <c r="BS708" s="81"/>
      <c r="BT708" s="81"/>
      <c r="BU708" s="81"/>
      <c r="BV708" s="81"/>
      <c r="BW708" s="54"/>
      <c r="BX708" s="54"/>
      <c r="BY708" s="54"/>
      <c r="BZ708" s="54"/>
      <c r="CA708" s="54"/>
      <c r="CB708" s="54"/>
      <c r="CC708" s="54"/>
      <c r="CD708" s="54"/>
      <c r="CE708" s="54"/>
      <c r="CF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  <c r="BR709" s="81"/>
      <c r="BS709" s="81"/>
      <c r="BT709" s="81"/>
      <c r="BU709" s="81"/>
      <c r="BV709" s="81"/>
      <c r="BW709" s="54"/>
      <c r="BX709" s="54"/>
      <c r="BY709" s="54"/>
      <c r="BZ709" s="54"/>
      <c r="CA709" s="54"/>
      <c r="CB709" s="54"/>
      <c r="CC709" s="54"/>
      <c r="CD709" s="54"/>
      <c r="CE709" s="54"/>
      <c r="CF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  <c r="BR710" s="81"/>
      <c r="BS710" s="81"/>
      <c r="BT710" s="81"/>
      <c r="BU710" s="81"/>
      <c r="BV710" s="81"/>
      <c r="BW710" s="54"/>
      <c r="BX710" s="54"/>
      <c r="BY710" s="54"/>
      <c r="BZ710" s="54"/>
      <c r="CA710" s="54"/>
      <c r="CB710" s="54"/>
      <c r="CC710" s="54"/>
      <c r="CD710" s="54"/>
      <c r="CE710" s="54"/>
      <c r="CF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4"/>
      <c r="BQ711" s="54"/>
      <c r="BR711" s="81"/>
      <c r="BS711" s="81"/>
      <c r="BT711" s="81"/>
      <c r="BU711" s="81"/>
      <c r="BV711" s="81"/>
      <c r="BW711" s="54"/>
      <c r="BX711" s="54"/>
      <c r="BY711" s="54"/>
      <c r="BZ711" s="54"/>
      <c r="CA711" s="54"/>
      <c r="CB711" s="54"/>
      <c r="CC711" s="54"/>
      <c r="CD711" s="54"/>
      <c r="CE711" s="54"/>
      <c r="CF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4"/>
      <c r="BQ712" s="54"/>
      <c r="BR712" s="81"/>
      <c r="BS712" s="81"/>
      <c r="BT712" s="81"/>
      <c r="BU712" s="81"/>
      <c r="BV712" s="81"/>
      <c r="BW712" s="54"/>
      <c r="BX712" s="54"/>
      <c r="BY712" s="54"/>
      <c r="BZ712" s="54"/>
      <c r="CA712" s="54"/>
      <c r="CB712" s="54"/>
      <c r="CC712" s="54"/>
      <c r="CD712" s="54"/>
      <c r="CE712" s="54"/>
      <c r="CF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  <c r="BR713" s="81"/>
      <c r="BS713" s="81"/>
      <c r="BT713" s="81"/>
      <c r="BU713" s="81"/>
      <c r="BV713" s="81"/>
      <c r="BW713" s="54"/>
      <c r="BX713" s="54"/>
      <c r="BY713" s="54"/>
      <c r="BZ713" s="54"/>
      <c r="CA713" s="54"/>
      <c r="CB713" s="54"/>
      <c r="CC713" s="54"/>
      <c r="CD713" s="54"/>
      <c r="CE713" s="54"/>
      <c r="CF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54"/>
      <c r="BR714" s="81"/>
      <c r="BS714" s="81"/>
      <c r="BT714" s="81"/>
      <c r="BU714" s="81"/>
      <c r="BV714" s="81"/>
      <c r="BW714" s="54"/>
      <c r="BX714" s="54"/>
      <c r="BY714" s="54"/>
      <c r="BZ714" s="54"/>
      <c r="CA714" s="54"/>
      <c r="CB714" s="54"/>
      <c r="CC714" s="54"/>
      <c r="CD714" s="54"/>
      <c r="CE714" s="54"/>
      <c r="CF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4"/>
      <c r="BQ715" s="54"/>
      <c r="BR715" s="81"/>
      <c r="BS715" s="81"/>
      <c r="BT715" s="81"/>
      <c r="BU715" s="81"/>
      <c r="BV715" s="81"/>
      <c r="BW715" s="54"/>
      <c r="BX715" s="54"/>
      <c r="BY715" s="54"/>
      <c r="BZ715" s="54"/>
      <c r="CA715" s="54"/>
      <c r="CB715" s="54"/>
      <c r="CC715" s="54"/>
      <c r="CD715" s="54"/>
      <c r="CE715" s="54"/>
      <c r="CF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54"/>
      <c r="BR716" s="81"/>
      <c r="BS716" s="81"/>
      <c r="BT716" s="81"/>
      <c r="BU716" s="81"/>
      <c r="BV716" s="81"/>
      <c r="BW716" s="54"/>
      <c r="BX716" s="54"/>
      <c r="BY716" s="54"/>
      <c r="BZ716" s="54"/>
      <c r="CA716" s="54"/>
      <c r="CB716" s="54"/>
      <c r="CC716" s="54"/>
      <c r="CD716" s="54"/>
      <c r="CE716" s="54"/>
      <c r="CF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54"/>
      <c r="BR717" s="81"/>
      <c r="BS717" s="81"/>
      <c r="BT717" s="81"/>
      <c r="BU717" s="81"/>
      <c r="BV717" s="81"/>
      <c r="BW717" s="54"/>
      <c r="BX717" s="54"/>
      <c r="BY717" s="54"/>
      <c r="BZ717" s="54"/>
      <c r="CA717" s="54"/>
      <c r="CB717" s="54"/>
      <c r="CC717" s="54"/>
      <c r="CD717" s="54"/>
      <c r="CE717" s="54"/>
      <c r="CF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4"/>
      <c r="BQ718" s="54"/>
      <c r="BR718" s="81"/>
      <c r="BS718" s="81"/>
      <c r="BT718" s="81"/>
      <c r="BU718" s="81"/>
      <c r="BV718" s="81"/>
      <c r="BW718" s="54"/>
      <c r="BX718" s="54"/>
      <c r="BY718" s="54"/>
      <c r="BZ718" s="54"/>
      <c r="CA718" s="54"/>
      <c r="CB718" s="54"/>
      <c r="CC718" s="54"/>
      <c r="CD718" s="54"/>
      <c r="CE718" s="54"/>
      <c r="CF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4"/>
      <c r="BQ719" s="54"/>
      <c r="BR719" s="81"/>
      <c r="BS719" s="81"/>
      <c r="BT719" s="81"/>
      <c r="BU719" s="81"/>
      <c r="BV719" s="81"/>
      <c r="BW719" s="54"/>
      <c r="BX719" s="54"/>
      <c r="BY719" s="54"/>
      <c r="BZ719" s="54"/>
      <c r="CA719" s="54"/>
      <c r="CB719" s="54"/>
      <c r="CC719" s="54"/>
      <c r="CD719" s="54"/>
      <c r="CE719" s="54"/>
      <c r="CF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54"/>
      <c r="BR720" s="81"/>
      <c r="BS720" s="81"/>
      <c r="BT720" s="81"/>
      <c r="BU720" s="81"/>
      <c r="BV720" s="81"/>
      <c r="BW720" s="54"/>
      <c r="BX720" s="54"/>
      <c r="BY720" s="54"/>
      <c r="BZ720" s="54"/>
      <c r="CA720" s="54"/>
      <c r="CB720" s="54"/>
      <c r="CC720" s="54"/>
      <c r="CD720" s="54"/>
      <c r="CE720" s="54"/>
      <c r="CF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4"/>
      <c r="BQ721" s="54"/>
      <c r="BR721" s="81"/>
      <c r="BS721" s="81"/>
      <c r="BT721" s="81"/>
      <c r="BU721" s="81"/>
      <c r="BV721" s="81"/>
      <c r="BW721" s="54"/>
      <c r="BX721" s="54"/>
      <c r="BY721" s="54"/>
      <c r="BZ721" s="54"/>
      <c r="CA721" s="54"/>
      <c r="CB721" s="54"/>
      <c r="CC721" s="54"/>
      <c r="CD721" s="54"/>
      <c r="CE721" s="54"/>
      <c r="CF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54"/>
      <c r="BR722" s="81"/>
      <c r="BS722" s="81"/>
      <c r="BT722" s="81"/>
      <c r="BU722" s="81"/>
      <c r="BV722" s="81"/>
      <c r="BW722" s="54"/>
      <c r="BX722" s="54"/>
      <c r="BY722" s="54"/>
      <c r="BZ722" s="54"/>
      <c r="CA722" s="54"/>
      <c r="CB722" s="54"/>
      <c r="CC722" s="54"/>
      <c r="CD722" s="54"/>
      <c r="CE722" s="54"/>
      <c r="CF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4"/>
      <c r="BE723" s="54"/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4"/>
      <c r="BQ723" s="54"/>
      <c r="BR723" s="81"/>
      <c r="BS723" s="81"/>
      <c r="BT723" s="81"/>
      <c r="BU723" s="81"/>
      <c r="BV723" s="81"/>
      <c r="BW723" s="54"/>
      <c r="BX723" s="54"/>
      <c r="BY723" s="54"/>
      <c r="BZ723" s="54"/>
      <c r="CA723" s="54"/>
      <c r="CB723" s="54"/>
      <c r="CC723" s="54"/>
      <c r="CD723" s="54"/>
      <c r="CE723" s="54"/>
      <c r="CF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4"/>
      <c r="BE724" s="54"/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4"/>
      <c r="BQ724" s="54"/>
      <c r="BR724" s="81"/>
      <c r="BS724" s="81"/>
      <c r="BT724" s="81"/>
      <c r="BU724" s="81"/>
      <c r="BV724" s="81"/>
      <c r="BW724" s="54"/>
      <c r="BX724" s="54"/>
      <c r="BY724" s="54"/>
      <c r="BZ724" s="54"/>
      <c r="CA724" s="54"/>
      <c r="CB724" s="54"/>
      <c r="CC724" s="54"/>
      <c r="CD724" s="54"/>
      <c r="CE724" s="54"/>
      <c r="CF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4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  <c r="BR725" s="81"/>
      <c r="BS725" s="81"/>
      <c r="BT725" s="81"/>
      <c r="BU725" s="81"/>
      <c r="BV725" s="81"/>
      <c r="BW725" s="54"/>
      <c r="BX725" s="54"/>
      <c r="BY725" s="54"/>
      <c r="BZ725" s="54"/>
      <c r="CA725" s="54"/>
      <c r="CB725" s="54"/>
      <c r="CC725" s="54"/>
      <c r="CD725" s="54"/>
      <c r="CE725" s="54"/>
      <c r="CF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  <c r="BR726" s="81"/>
      <c r="BS726" s="81"/>
      <c r="BT726" s="81"/>
      <c r="BU726" s="81"/>
      <c r="BV726" s="81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81"/>
      <c r="BS727" s="81"/>
      <c r="BT727" s="81"/>
      <c r="BU727" s="81"/>
      <c r="BV727" s="81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  <c r="BR728" s="81"/>
      <c r="BS728" s="81"/>
      <c r="BT728" s="81"/>
      <c r="BU728" s="81"/>
      <c r="BV728" s="81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4"/>
      <c r="BQ729" s="54"/>
      <c r="BR729" s="81"/>
      <c r="BS729" s="81"/>
      <c r="BT729" s="81"/>
      <c r="BU729" s="81"/>
      <c r="BV729" s="81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81"/>
      <c r="BS730" s="81"/>
      <c r="BT730" s="81"/>
      <c r="BU730" s="81"/>
      <c r="BV730" s="81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81"/>
      <c r="BS731" s="81"/>
      <c r="BT731" s="81"/>
      <c r="BU731" s="81"/>
      <c r="BV731" s="81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81"/>
      <c r="BS732" s="81"/>
      <c r="BT732" s="81"/>
      <c r="BU732" s="81"/>
      <c r="BV732" s="81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81"/>
      <c r="BS733" s="81"/>
      <c r="BT733" s="81"/>
      <c r="BU733" s="81"/>
      <c r="BV733" s="81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81"/>
      <c r="BS734" s="81"/>
      <c r="BT734" s="81"/>
      <c r="BU734" s="81"/>
      <c r="BV734" s="81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81"/>
      <c r="BS735" s="81"/>
      <c r="BT735" s="81"/>
      <c r="BU735" s="81"/>
      <c r="BV735" s="81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81"/>
      <c r="BS736" s="81"/>
      <c r="BT736" s="81"/>
      <c r="BU736" s="81"/>
      <c r="BV736" s="81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81"/>
      <c r="BS737" s="81"/>
      <c r="BT737" s="81"/>
      <c r="BU737" s="81"/>
      <c r="BV737" s="81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81"/>
      <c r="BS738" s="81"/>
      <c r="BT738" s="81"/>
      <c r="BU738" s="81"/>
      <c r="BV738" s="81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81"/>
      <c r="BS739" s="81"/>
      <c r="BT739" s="81"/>
      <c r="BU739" s="81"/>
      <c r="BV739" s="81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81"/>
      <c r="BS740" s="81"/>
      <c r="BT740" s="81"/>
      <c r="BU740" s="81"/>
      <c r="BV740" s="81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81"/>
      <c r="BS741" s="81"/>
      <c r="BT741" s="81"/>
      <c r="BU741" s="81"/>
      <c r="BV741" s="81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4"/>
      <c r="BE742" s="54"/>
      <c r="BF742" s="54"/>
      <c r="BG742" s="54"/>
      <c r="BH742" s="54"/>
      <c r="BI742" s="54"/>
      <c r="BJ742" s="54"/>
      <c r="BK742" s="54"/>
      <c r="BL742" s="54"/>
      <c r="BM742" s="54"/>
      <c r="BN742" s="54"/>
      <c r="BO742" s="54"/>
      <c r="BP742" s="54"/>
      <c r="BQ742" s="54"/>
      <c r="BR742" s="81"/>
      <c r="BS742" s="81"/>
      <c r="BT742" s="81"/>
      <c r="BU742" s="81"/>
      <c r="BV742" s="81"/>
      <c r="BW742" s="54"/>
      <c r="BX742" s="54"/>
      <c r="BY742" s="54"/>
      <c r="BZ742" s="54"/>
      <c r="CA742" s="54"/>
      <c r="CB742" s="54"/>
      <c r="CC742" s="54"/>
      <c r="CD742" s="54"/>
      <c r="CE742" s="54"/>
      <c r="CF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4"/>
      <c r="BE743" s="54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  <c r="BR743" s="81"/>
      <c r="BS743" s="81"/>
      <c r="BT743" s="81"/>
      <c r="BU743" s="81"/>
      <c r="BV743" s="81"/>
      <c r="BW743" s="54"/>
      <c r="BX743" s="54"/>
      <c r="BY743" s="54"/>
      <c r="BZ743" s="54"/>
      <c r="CA743" s="54"/>
      <c r="CB743" s="54"/>
      <c r="CC743" s="54"/>
      <c r="CD743" s="54"/>
      <c r="CE743" s="54"/>
      <c r="CF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4"/>
      <c r="BQ744" s="54"/>
      <c r="BR744" s="81"/>
      <c r="BS744" s="81"/>
      <c r="BT744" s="81"/>
      <c r="BU744" s="81"/>
      <c r="BV744" s="81"/>
      <c r="BW744" s="54"/>
      <c r="BX744" s="54"/>
      <c r="BY744" s="54"/>
      <c r="BZ744" s="54"/>
      <c r="CA744" s="54"/>
      <c r="CB744" s="54"/>
      <c r="CC744" s="54"/>
      <c r="CD744" s="54"/>
      <c r="CE744" s="54"/>
      <c r="CF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4"/>
      <c r="BE745" s="54"/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4"/>
      <c r="BQ745" s="54"/>
      <c r="BR745" s="81"/>
      <c r="BS745" s="81"/>
      <c r="BT745" s="81"/>
      <c r="BU745" s="81"/>
      <c r="BV745" s="81"/>
      <c r="BW745" s="54"/>
      <c r="BX745" s="54"/>
      <c r="BY745" s="54"/>
      <c r="BZ745" s="54"/>
      <c r="CA745" s="54"/>
      <c r="CB745" s="54"/>
      <c r="CC745" s="54"/>
      <c r="CD745" s="54"/>
      <c r="CE745" s="54"/>
      <c r="CF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4"/>
      <c r="BQ746" s="54"/>
      <c r="BR746" s="81"/>
      <c r="BS746" s="81"/>
      <c r="BT746" s="81"/>
      <c r="BU746" s="81"/>
      <c r="BV746" s="81"/>
      <c r="BW746" s="54"/>
      <c r="BX746" s="54"/>
      <c r="BY746" s="54"/>
      <c r="BZ746" s="54"/>
      <c r="CA746" s="54"/>
      <c r="CB746" s="54"/>
      <c r="CC746" s="54"/>
      <c r="CD746" s="54"/>
      <c r="CE746" s="54"/>
      <c r="CF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4"/>
      <c r="BE747" s="54"/>
      <c r="BF747" s="54"/>
      <c r="BG747" s="54"/>
      <c r="BH747" s="54"/>
      <c r="BI747" s="54"/>
      <c r="BJ747" s="54"/>
      <c r="BK747" s="54"/>
      <c r="BL747" s="54"/>
      <c r="BM747" s="54"/>
      <c r="BN747" s="54"/>
      <c r="BO747" s="54"/>
      <c r="BP747" s="54"/>
      <c r="BQ747" s="54"/>
      <c r="BR747" s="81"/>
      <c r="BS747" s="81"/>
      <c r="BT747" s="81"/>
      <c r="BU747" s="81"/>
      <c r="BV747" s="81"/>
      <c r="BW747" s="54"/>
      <c r="BX747" s="54"/>
      <c r="BY747" s="54"/>
      <c r="BZ747" s="54"/>
      <c r="CA747" s="54"/>
      <c r="CB747" s="54"/>
      <c r="CC747" s="54"/>
      <c r="CD747" s="54"/>
      <c r="CE747" s="54"/>
      <c r="CF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4"/>
      <c r="BQ748" s="54"/>
      <c r="BR748" s="81"/>
      <c r="BS748" s="81"/>
      <c r="BT748" s="81"/>
      <c r="BU748" s="81"/>
      <c r="BV748" s="81"/>
      <c r="BW748" s="54"/>
      <c r="BX748" s="54"/>
      <c r="BY748" s="54"/>
      <c r="BZ748" s="54"/>
      <c r="CA748" s="54"/>
      <c r="CB748" s="54"/>
      <c r="CC748" s="54"/>
      <c r="CD748" s="54"/>
      <c r="CE748" s="54"/>
      <c r="CF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4"/>
      <c r="BE749" s="54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4"/>
      <c r="BQ749" s="54"/>
      <c r="BR749" s="81"/>
      <c r="BS749" s="81"/>
      <c r="BT749" s="81"/>
      <c r="BU749" s="81"/>
      <c r="BV749" s="81"/>
      <c r="BW749" s="54"/>
      <c r="BX749" s="54"/>
      <c r="BY749" s="54"/>
      <c r="BZ749" s="54"/>
      <c r="CA749" s="54"/>
      <c r="CB749" s="54"/>
      <c r="CC749" s="54"/>
      <c r="CD749" s="54"/>
      <c r="CE749" s="54"/>
      <c r="CF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4"/>
      <c r="BE750" s="54"/>
      <c r="BF750" s="54"/>
      <c r="BG750" s="54"/>
      <c r="BH750" s="54"/>
      <c r="BI750" s="54"/>
      <c r="BJ750" s="54"/>
      <c r="BK750" s="54"/>
      <c r="BL750" s="54"/>
      <c r="BM750" s="54"/>
      <c r="BN750" s="54"/>
      <c r="BO750" s="54"/>
      <c r="BP750" s="54"/>
      <c r="BQ750" s="54"/>
      <c r="BR750" s="81"/>
      <c r="BS750" s="81"/>
      <c r="BT750" s="81"/>
      <c r="BU750" s="81"/>
      <c r="BV750" s="81"/>
      <c r="BW750" s="54"/>
      <c r="BX750" s="54"/>
      <c r="BY750" s="54"/>
      <c r="BZ750" s="54"/>
      <c r="CA750" s="54"/>
      <c r="CB750" s="54"/>
      <c r="CC750" s="54"/>
      <c r="CD750" s="54"/>
      <c r="CE750" s="54"/>
      <c r="CF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4"/>
      <c r="BE751" s="54"/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4"/>
      <c r="BQ751" s="54"/>
      <c r="BR751" s="81"/>
      <c r="BS751" s="81"/>
      <c r="BT751" s="81"/>
      <c r="BU751" s="81"/>
      <c r="BV751" s="81"/>
      <c r="BW751" s="54"/>
      <c r="BX751" s="54"/>
      <c r="BY751" s="54"/>
      <c r="BZ751" s="54"/>
      <c r="CA751" s="54"/>
      <c r="CB751" s="54"/>
      <c r="CC751" s="54"/>
      <c r="CD751" s="54"/>
      <c r="CE751" s="54"/>
      <c r="CF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  <c r="BR752" s="81"/>
      <c r="BS752" s="81"/>
      <c r="BT752" s="81"/>
      <c r="BU752" s="81"/>
      <c r="BV752" s="81"/>
      <c r="BW752" s="54"/>
      <c r="BX752" s="54"/>
      <c r="BY752" s="54"/>
      <c r="BZ752" s="54"/>
      <c r="CA752" s="54"/>
      <c r="CB752" s="54"/>
      <c r="CC752" s="54"/>
      <c r="CD752" s="54"/>
      <c r="CE752" s="54"/>
      <c r="CF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4"/>
      <c r="BE753" s="54"/>
      <c r="BF753" s="54"/>
      <c r="BG753" s="54"/>
      <c r="BH753" s="54"/>
      <c r="BI753" s="54"/>
      <c r="BJ753" s="54"/>
      <c r="BK753" s="54"/>
      <c r="BL753" s="54"/>
      <c r="BM753" s="54"/>
      <c r="BN753" s="54"/>
      <c r="BO753" s="54"/>
      <c r="BP753" s="54"/>
      <c r="BQ753" s="54"/>
      <c r="BR753" s="81"/>
      <c r="BS753" s="81"/>
      <c r="BT753" s="81"/>
      <c r="BU753" s="81"/>
      <c r="BV753" s="81"/>
      <c r="BW753" s="54"/>
      <c r="BX753" s="54"/>
      <c r="BY753" s="54"/>
      <c r="BZ753" s="54"/>
      <c r="CA753" s="54"/>
      <c r="CB753" s="54"/>
      <c r="CC753" s="54"/>
      <c r="CD753" s="54"/>
      <c r="CE753" s="54"/>
      <c r="CF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4"/>
      <c r="BE754" s="54"/>
      <c r="BF754" s="54"/>
      <c r="BG754" s="54"/>
      <c r="BH754" s="54"/>
      <c r="BI754" s="54"/>
      <c r="BJ754" s="54"/>
      <c r="BK754" s="54"/>
      <c r="BL754" s="54"/>
      <c r="BM754" s="54"/>
      <c r="BN754" s="54"/>
      <c r="BO754" s="54"/>
      <c r="BP754" s="54"/>
      <c r="BQ754" s="54"/>
      <c r="BR754" s="81"/>
      <c r="BS754" s="81"/>
      <c r="BT754" s="81"/>
      <c r="BU754" s="81"/>
      <c r="BV754" s="81"/>
      <c r="BW754" s="54"/>
      <c r="BX754" s="54"/>
      <c r="BY754" s="54"/>
      <c r="BZ754" s="54"/>
      <c r="CA754" s="54"/>
      <c r="CB754" s="54"/>
      <c r="CC754" s="54"/>
      <c r="CD754" s="54"/>
      <c r="CE754" s="54"/>
      <c r="CF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4"/>
      <c r="BE755" s="54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  <c r="BR755" s="81"/>
      <c r="BS755" s="81"/>
      <c r="BT755" s="81"/>
      <c r="BU755" s="81"/>
      <c r="BV755" s="81"/>
      <c r="BW755" s="54"/>
      <c r="BX755" s="54"/>
      <c r="BY755" s="54"/>
      <c r="BZ755" s="54"/>
      <c r="CA755" s="54"/>
      <c r="CB755" s="54"/>
      <c r="CC755" s="54"/>
      <c r="CD755" s="54"/>
      <c r="CE755" s="54"/>
      <c r="CF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4"/>
      <c r="BE756" s="54"/>
      <c r="BF756" s="54"/>
      <c r="BG756" s="54"/>
      <c r="BH756" s="54"/>
      <c r="BI756" s="54"/>
      <c r="BJ756" s="54"/>
      <c r="BK756" s="54"/>
      <c r="BL756" s="54"/>
      <c r="BM756" s="54"/>
      <c r="BN756" s="54"/>
      <c r="BO756" s="54"/>
      <c r="BP756" s="54"/>
      <c r="BQ756" s="54"/>
      <c r="BR756" s="81"/>
      <c r="BS756" s="81"/>
      <c r="BT756" s="81"/>
      <c r="BU756" s="81"/>
      <c r="BV756" s="81"/>
      <c r="BW756" s="54"/>
      <c r="BX756" s="54"/>
      <c r="BY756" s="54"/>
      <c r="BZ756" s="54"/>
      <c r="CA756" s="54"/>
      <c r="CB756" s="54"/>
      <c r="CC756" s="54"/>
      <c r="CD756" s="54"/>
      <c r="CE756" s="54"/>
      <c r="CF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4"/>
      <c r="BE757" s="54"/>
      <c r="BF757" s="54"/>
      <c r="BG757" s="54"/>
      <c r="BH757" s="54"/>
      <c r="BI757" s="54"/>
      <c r="BJ757" s="54"/>
      <c r="BK757" s="54"/>
      <c r="BL757" s="54"/>
      <c r="BM757" s="54"/>
      <c r="BN757" s="54"/>
      <c r="BO757" s="54"/>
      <c r="BP757" s="54"/>
      <c r="BQ757" s="54"/>
      <c r="BR757" s="81"/>
      <c r="BS757" s="81"/>
      <c r="BT757" s="81"/>
      <c r="BU757" s="81"/>
      <c r="BV757" s="81"/>
      <c r="BW757" s="54"/>
      <c r="BX757" s="54"/>
      <c r="BY757" s="54"/>
      <c r="BZ757" s="54"/>
      <c r="CA757" s="54"/>
      <c r="CB757" s="54"/>
      <c r="CC757" s="54"/>
      <c r="CD757" s="54"/>
      <c r="CE757" s="54"/>
      <c r="CF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4"/>
      <c r="BE758" s="54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81"/>
      <c r="BS758" s="81"/>
      <c r="BT758" s="81"/>
      <c r="BU758" s="81"/>
      <c r="BV758" s="81"/>
      <c r="BW758" s="54"/>
      <c r="BX758" s="54"/>
      <c r="BY758" s="54"/>
      <c r="BZ758" s="54"/>
      <c r="CA758" s="54"/>
      <c r="CB758" s="54"/>
      <c r="CC758" s="54"/>
      <c r="CD758" s="54"/>
      <c r="CE758" s="54"/>
      <c r="CF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  <c r="BR759" s="81"/>
      <c r="BS759" s="81"/>
      <c r="BT759" s="81"/>
      <c r="BU759" s="81"/>
      <c r="BV759" s="81"/>
      <c r="BW759" s="54"/>
      <c r="BX759" s="54"/>
      <c r="BY759" s="54"/>
      <c r="BZ759" s="54"/>
      <c r="CA759" s="54"/>
      <c r="CB759" s="54"/>
      <c r="CC759" s="54"/>
      <c r="CD759" s="54"/>
      <c r="CE759" s="54"/>
      <c r="CF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4"/>
      <c r="BQ760" s="54"/>
      <c r="BR760" s="81"/>
      <c r="BS760" s="81"/>
      <c r="BT760" s="81"/>
      <c r="BU760" s="81"/>
      <c r="BV760" s="81"/>
      <c r="BW760" s="54"/>
      <c r="BX760" s="54"/>
      <c r="BY760" s="54"/>
      <c r="BZ760" s="54"/>
      <c r="CA760" s="54"/>
      <c r="CB760" s="54"/>
      <c r="CC760" s="54"/>
      <c r="CD760" s="54"/>
      <c r="CE760" s="54"/>
      <c r="CF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81"/>
      <c r="BS761" s="81"/>
      <c r="BT761" s="81"/>
      <c r="BU761" s="81"/>
      <c r="BV761" s="81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  <c r="BR762" s="81"/>
      <c r="BS762" s="81"/>
      <c r="BT762" s="81"/>
      <c r="BU762" s="81"/>
      <c r="BV762" s="81"/>
      <c r="BW762" s="54"/>
      <c r="BX762" s="54"/>
      <c r="BY762" s="54"/>
      <c r="BZ762" s="54"/>
      <c r="CA762" s="54"/>
      <c r="CB762" s="54"/>
      <c r="CC762" s="54"/>
      <c r="CD762" s="54"/>
      <c r="CE762" s="54"/>
      <c r="CF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4"/>
      <c r="BQ763" s="54"/>
      <c r="BR763" s="81"/>
      <c r="BS763" s="81"/>
      <c r="BT763" s="81"/>
      <c r="BU763" s="81"/>
      <c r="BV763" s="81"/>
      <c r="BW763" s="54"/>
      <c r="BX763" s="54"/>
      <c r="BY763" s="54"/>
      <c r="BZ763" s="54"/>
      <c r="CA763" s="54"/>
      <c r="CB763" s="54"/>
      <c r="CC763" s="54"/>
      <c r="CD763" s="54"/>
      <c r="CE763" s="54"/>
      <c r="CF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  <c r="BR764" s="81"/>
      <c r="BS764" s="81"/>
      <c r="BT764" s="81"/>
      <c r="BU764" s="81"/>
      <c r="BV764" s="81"/>
      <c r="BW764" s="54"/>
      <c r="BX764" s="54"/>
      <c r="BY764" s="54"/>
      <c r="BZ764" s="54"/>
      <c r="CA764" s="54"/>
      <c r="CB764" s="54"/>
      <c r="CC764" s="54"/>
      <c r="CD764" s="54"/>
      <c r="CE764" s="54"/>
      <c r="CF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  <c r="BR765" s="81"/>
      <c r="BS765" s="81"/>
      <c r="BT765" s="81"/>
      <c r="BU765" s="81"/>
      <c r="BV765" s="81"/>
      <c r="BW765" s="54"/>
      <c r="BX765" s="54"/>
      <c r="BY765" s="54"/>
      <c r="BZ765" s="54"/>
      <c r="CA765" s="54"/>
      <c r="CB765" s="54"/>
      <c r="CC765" s="54"/>
      <c r="CD765" s="54"/>
      <c r="CE765" s="54"/>
      <c r="CF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  <c r="BR766" s="81"/>
      <c r="BS766" s="81"/>
      <c r="BT766" s="81"/>
      <c r="BU766" s="81"/>
      <c r="BV766" s="81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4"/>
      <c r="BQ767" s="54"/>
      <c r="BR767" s="81"/>
      <c r="BS767" s="81"/>
      <c r="BT767" s="81"/>
      <c r="BU767" s="81"/>
      <c r="BV767" s="81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4"/>
      <c r="BE768" s="54"/>
      <c r="BF768" s="54"/>
      <c r="BG768" s="54"/>
      <c r="BH768" s="54"/>
      <c r="BI768" s="54"/>
      <c r="BJ768" s="54"/>
      <c r="BK768" s="54"/>
      <c r="BL768" s="54"/>
      <c r="BM768" s="54"/>
      <c r="BN768" s="54"/>
      <c r="BO768" s="54"/>
      <c r="BP768" s="54"/>
      <c r="BQ768" s="54"/>
      <c r="BR768" s="81"/>
      <c r="BS768" s="81"/>
      <c r="BT768" s="81"/>
      <c r="BU768" s="81"/>
      <c r="BV768" s="81"/>
      <c r="BW768" s="54"/>
      <c r="BX768" s="54"/>
      <c r="BY768" s="54"/>
      <c r="BZ768" s="54"/>
      <c r="CA768" s="54"/>
      <c r="CB768" s="54"/>
      <c r="CC768" s="54"/>
      <c r="CD768" s="54"/>
      <c r="CE768" s="54"/>
      <c r="CF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4"/>
      <c r="BE769" s="54"/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4"/>
      <c r="BQ769" s="54"/>
      <c r="BR769" s="81"/>
      <c r="BS769" s="81"/>
      <c r="BT769" s="81"/>
      <c r="BU769" s="81"/>
      <c r="BV769" s="81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81"/>
      <c r="BS770" s="81"/>
      <c r="BT770" s="81"/>
      <c r="BU770" s="81"/>
      <c r="BV770" s="81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81"/>
      <c r="BS771" s="81"/>
      <c r="BT771" s="81"/>
      <c r="BU771" s="81"/>
      <c r="BV771" s="81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81"/>
      <c r="BS772" s="81"/>
      <c r="BT772" s="81"/>
      <c r="BU772" s="81"/>
      <c r="BV772" s="81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81"/>
      <c r="BS773" s="81"/>
      <c r="BT773" s="81"/>
      <c r="BU773" s="81"/>
      <c r="BV773" s="81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81"/>
      <c r="BS774" s="81"/>
      <c r="BT774" s="81"/>
      <c r="BU774" s="81"/>
      <c r="BV774" s="81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81"/>
      <c r="BS775" s="81"/>
      <c r="BT775" s="81"/>
      <c r="BU775" s="81"/>
      <c r="BV775" s="81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81"/>
      <c r="BS776" s="81"/>
      <c r="BT776" s="81"/>
      <c r="BU776" s="81"/>
      <c r="BV776" s="81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81"/>
      <c r="BS777" s="81"/>
      <c r="BT777" s="81"/>
      <c r="BU777" s="81"/>
      <c r="BV777" s="81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81"/>
      <c r="BS778" s="81"/>
      <c r="BT778" s="81"/>
      <c r="BU778" s="81"/>
      <c r="BV778" s="81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81"/>
      <c r="BS779" s="81"/>
      <c r="BT779" s="81"/>
      <c r="BU779" s="81"/>
      <c r="BV779" s="81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4"/>
      <c r="BE780" s="54"/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4"/>
      <c r="BQ780" s="54"/>
      <c r="BR780" s="81"/>
      <c r="BS780" s="81"/>
      <c r="BT780" s="81"/>
      <c r="BU780" s="81"/>
      <c r="BV780" s="81"/>
      <c r="BW780" s="54"/>
      <c r="BX780" s="54"/>
      <c r="BY780" s="54"/>
      <c r="BZ780" s="54"/>
      <c r="CA780" s="54"/>
      <c r="CB780" s="54"/>
      <c r="CC780" s="54"/>
      <c r="CD780" s="54"/>
      <c r="CE780" s="54"/>
      <c r="CF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4"/>
      <c r="BE781" s="54"/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4"/>
      <c r="BQ781" s="54"/>
      <c r="BR781" s="81"/>
      <c r="BS781" s="81"/>
      <c r="BT781" s="81"/>
      <c r="BU781" s="81"/>
      <c r="BV781" s="81"/>
      <c r="BW781" s="54"/>
      <c r="BX781" s="54"/>
      <c r="BY781" s="54"/>
      <c r="BZ781" s="54"/>
      <c r="CA781" s="54"/>
      <c r="CB781" s="54"/>
      <c r="CC781" s="54"/>
      <c r="CD781" s="54"/>
      <c r="CE781" s="54"/>
      <c r="CF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4"/>
      <c r="BE782" s="54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4"/>
      <c r="BQ782" s="54"/>
      <c r="BR782" s="81"/>
      <c r="BS782" s="81"/>
      <c r="BT782" s="81"/>
      <c r="BU782" s="81"/>
      <c r="BV782" s="81"/>
      <c r="BW782" s="54"/>
      <c r="BX782" s="54"/>
      <c r="BY782" s="54"/>
      <c r="BZ782" s="54"/>
      <c r="CA782" s="54"/>
      <c r="CB782" s="54"/>
      <c r="CC782" s="54"/>
      <c r="CD782" s="54"/>
      <c r="CE782" s="54"/>
      <c r="CF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4"/>
      <c r="BE783" s="54"/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4"/>
      <c r="BQ783" s="54"/>
      <c r="BR783" s="81"/>
      <c r="BS783" s="81"/>
      <c r="BT783" s="81"/>
      <c r="BU783" s="81"/>
      <c r="BV783" s="81"/>
      <c r="BW783" s="54"/>
      <c r="BX783" s="54"/>
      <c r="BY783" s="54"/>
      <c r="BZ783" s="54"/>
      <c r="CA783" s="54"/>
      <c r="CB783" s="54"/>
      <c r="CC783" s="54"/>
      <c r="CD783" s="54"/>
      <c r="CE783" s="54"/>
      <c r="CF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54"/>
      <c r="BP784" s="54"/>
      <c r="BQ784" s="54"/>
      <c r="BR784" s="81"/>
      <c r="BS784" s="81"/>
      <c r="BT784" s="81"/>
      <c r="BU784" s="81"/>
      <c r="BV784" s="81"/>
      <c r="BW784" s="54"/>
      <c r="BX784" s="54"/>
      <c r="BY784" s="54"/>
      <c r="BZ784" s="54"/>
      <c r="CA784" s="54"/>
      <c r="CB784" s="54"/>
      <c r="CC784" s="54"/>
      <c r="CD784" s="54"/>
      <c r="CE784" s="54"/>
      <c r="CF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4"/>
      <c r="BE785" s="54"/>
      <c r="BF785" s="54"/>
      <c r="BG785" s="54"/>
      <c r="BH785" s="54"/>
      <c r="BI785" s="54"/>
      <c r="BJ785" s="54"/>
      <c r="BK785" s="54"/>
      <c r="BL785" s="54"/>
      <c r="BM785" s="54"/>
      <c r="BN785" s="54"/>
      <c r="BO785" s="54"/>
      <c r="BP785" s="54"/>
      <c r="BQ785" s="54"/>
      <c r="BR785" s="81"/>
      <c r="BS785" s="81"/>
      <c r="BT785" s="81"/>
      <c r="BU785" s="81"/>
      <c r="BV785" s="81"/>
      <c r="BW785" s="54"/>
      <c r="BX785" s="54"/>
      <c r="BY785" s="54"/>
      <c r="BZ785" s="54"/>
      <c r="CA785" s="54"/>
      <c r="CB785" s="54"/>
      <c r="CC785" s="54"/>
      <c r="CD785" s="54"/>
      <c r="CE785" s="54"/>
      <c r="CF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4"/>
      <c r="BQ786" s="54"/>
      <c r="BR786" s="81"/>
      <c r="BS786" s="81"/>
      <c r="BT786" s="81"/>
      <c r="BU786" s="81"/>
      <c r="BV786" s="81"/>
      <c r="BW786" s="54"/>
      <c r="BX786" s="54"/>
      <c r="BY786" s="54"/>
      <c r="BZ786" s="54"/>
      <c r="CA786" s="54"/>
      <c r="CB786" s="54"/>
      <c r="CC786" s="54"/>
      <c r="CD786" s="54"/>
      <c r="CE786" s="54"/>
      <c r="CF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4"/>
      <c r="BE787" s="54"/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  <c r="BR787" s="81"/>
      <c r="BS787" s="81"/>
      <c r="BT787" s="81"/>
      <c r="BU787" s="81"/>
      <c r="BV787" s="81"/>
      <c r="BW787" s="54"/>
      <c r="BX787" s="54"/>
      <c r="BY787" s="54"/>
      <c r="BZ787" s="54"/>
      <c r="CA787" s="54"/>
      <c r="CB787" s="54"/>
      <c r="CC787" s="54"/>
      <c r="CD787" s="54"/>
      <c r="CE787" s="54"/>
      <c r="CF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54"/>
      <c r="BP788" s="54"/>
      <c r="BQ788" s="54"/>
      <c r="BR788" s="81"/>
      <c r="BS788" s="81"/>
      <c r="BT788" s="81"/>
      <c r="BU788" s="81"/>
      <c r="BV788" s="81"/>
      <c r="BW788" s="54"/>
      <c r="BX788" s="54"/>
      <c r="BY788" s="54"/>
      <c r="BZ788" s="54"/>
      <c r="CA788" s="54"/>
      <c r="CB788" s="54"/>
      <c r="CC788" s="54"/>
      <c r="CD788" s="54"/>
      <c r="CE788" s="54"/>
      <c r="CF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  <c r="BD789" s="54"/>
      <c r="BE789" s="54"/>
      <c r="BF789" s="54"/>
      <c r="BG789" s="54"/>
      <c r="BH789" s="54"/>
      <c r="BI789" s="54"/>
      <c r="BJ789" s="54"/>
      <c r="BK789" s="54"/>
      <c r="BL789" s="54"/>
      <c r="BM789" s="54"/>
      <c r="BN789" s="54"/>
      <c r="BO789" s="54"/>
      <c r="BP789" s="54"/>
      <c r="BQ789" s="54"/>
      <c r="BR789" s="81"/>
      <c r="BS789" s="81"/>
      <c r="BT789" s="81"/>
      <c r="BU789" s="81"/>
      <c r="BV789" s="81"/>
      <c r="BW789" s="54"/>
      <c r="BX789" s="54"/>
      <c r="BY789" s="54"/>
      <c r="BZ789" s="54"/>
      <c r="CA789" s="54"/>
      <c r="CB789" s="54"/>
      <c r="CC789" s="54"/>
      <c r="CD789" s="54"/>
      <c r="CE789" s="54"/>
      <c r="CF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4"/>
      <c r="BE790" s="54"/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  <c r="BR790" s="81"/>
      <c r="BS790" s="81"/>
      <c r="BT790" s="81"/>
      <c r="BU790" s="81"/>
      <c r="BV790" s="81"/>
      <c r="BW790" s="54"/>
      <c r="BX790" s="54"/>
      <c r="BY790" s="54"/>
      <c r="BZ790" s="54"/>
      <c r="CA790" s="54"/>
      <c r="CB790" s="54"/>
      <c r="CC790" s="54"/>
      <c r="CD790" s="54"/>
      <c r="CE790" s="54"/>
      <c r="CF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4"/>
      <c r="BE791" s="54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4"/>
      <c r="BQ791" s="54"/>
      <c r="BR791" s="81"/>
      <c r="BS791" s="81"/>
      <c r="BT791" s="81"/>
      <c r="BU791" s="81"/>
      <c r="BV791" s="81"/>
      <c r="BW791" s="54"/>
      <c r="BX791" s="54"/>
      <c r="BY791" s="54"/>
      <c r="BZ791" s="54"/>
      <c r="CA791" s="54"/>
      <c r="CB791" s="54"/>
      <c r="CC791" s="54"/>
      <c r="CD791" s="54"/>
      <c r="CE791" s="54"/>
      <c r="CF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4"/>
      <c r="BP792" s="54"/>
      <c r="BQ792" s="54"/>
      <c r="BR792" s="81"/>
      <c r="BS792" s="81"/>
      <c r="BT792" s="81"/>
      <c r="BU792" s="81"/>
      <c r="BV792" s="81"/>
      <c r="BW792" s="54"/>
      <c r="BX792" s="54"/>
      <c r="BY792" s="54"/>
      <c r="BZ792" s="54"/>
      <c r="CA792" s="54"/>
      <c r="CB792" s="54"/>
      <c r="CC792" s="54"/>
      <c r="CD792" s="54"/>
      <c r="CE792" s="54"/>
      <c r="CF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4"/>
      <c r="BE793" s="54"/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4"/>
      <c r="BQ793" s="54"/>
      <c r="BR793" s="81"/>
      <c r="BS793" s="81"/>
      <c r="BT793" s="81"/>
      <c r="BU793" s="81"/>
      <c r="BV793" s="81"/>
      <c r="BW793" s="54"/>
      <c r="BX793" s="54"/>
      <c r="BY793" s="54"/>
      <c r="BZ793" s="54"/>
      <c r="CA793" s="54"/>
      <c r="CB793" s="54"/>
      <c r="CC793" s="54"/>
      <c r="CD793" s="54"/>
      <c r="CE793" s="54"/>
      <c r="CF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4"/>
      <c r="BE794" s="54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  <c r="BR794" s="81"/>
      <c r="BS794" s="81"/>
      <c r="BT794" s="81"/>
      <c r="BU794" s="81"/>
      <c r="BV794" s="81"/>
      <c r="BW794" s="54"/>
      <c r="BX794" s="54"/>
      <c r="BY794" s="54"/>
      <c r="BZ794" s="54"/>
      <c r="CA794" s="54"/>
      <c r="CB794" s="54"/>
      <c r="CC794" s="54"/>
      <c r="CD794" s="54"/>
      <c r="CE794" s="54"/>
      <c r="CF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4"/>
      <c r="BQ795" s="54"/>
      <c r="BR795" s="81"/>
      <c r="BS795" s="81"/>
      <c r="BT795" s="81"/>
      <c r="BU795" s="81"/>
      <c r="BV795" s="81"/>
      <c r="BW795" s="54"/>
      <c r="BX795" s="54"/>
      <c r="BY795" s="54"/>
      <c r="BZ795" s="54"/>
      <c r="CA795" s="54"/>
      <c r="CB795" s="54"/>
      <c r="CC795" s="54"/>
      <c r="CD795" s="54"/>
      <c r="CE795" s="54"/>
      <c r="CF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  <c r="BI796" s="54"/>
      <c r="BJ796" s="54"/>
      <c r="BK796" s="54"/>
      <c r="BL796" s="54"/>
      <c r="BM796" s="54"/>
      <c r="BN796" s="54"/>
      <c r="BO796" s="54"/>
      <c r="BP796" s="54"/>
      <c r="BQ796" s="54"/>
      <c r="BR796" s="81"/>
      <c r="BS796" s="81"/>
      <c r="BT796" s="81"/>
      <c r="BU796" s="81"/>
      <c r="BV796" s="81"/>
      <c r="BW796" s="54"/>
      <c r="BX796" s="54"/>
      <c r="BY796" s="54"/>
      <c r="BZ796" s="54"/>
      <c r="CA796" s="54"/>
      <c r="CB796" s="54"/>
      <c r="CC796" s="54"/>
      <c r="CD796" s="54"/>
      <c r="CE796" s="54"/>
      <c r="CF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  <c r="BR797" s="81"/>
      <c r="BS797" s="81"/>
      <c r="BT797" s="81"/>
      <c r="BU797" s="81"/>
      <c r="BV797" s="81"/>
      <c r="BW797" s="54"/>
      <c r="BX797" s="54"/>
      <c r="BY797" s="54"/>
      <c r="BZ797" s="54"/>
      <c r="CA797" s="54"/>
      <c r="CB797" s="54"/>
      <c r="CC797" s="54"/>
      <c r="CD797" s="54"/>
      <c r="CE797" s="54"/>
      <c r="CF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  <c r="BI798" s="54"/>
      <c r="BJ798" s="54"/>
      <c r="BK798" s="54"/>
      <c r="BL798" s="54"/>
      <c r="BM798" s="54"/>
      <c r="BN798" s="54"/>
      <c r="BO798" s="54"/>
      <c r="BP798" s="54"/>
      <c r="BQ798" s="54"/>
      <c r="BR798" s="81"/>
      <c r="BS798" s="81"/>
      <c r="BT798" s="81"/>
      <c r="BU798" s="81"/>
      <c r="BV798" s="81"/>
      <c r="BW798" s="54"/>
      <c r="BX798" s="54"/>
      <c r="BY798" s="54"/>
      <c r="BZ798" s="54"/>
      <c r="CA798" s="54"/>
      <c r="CB798" s="54"/>
      <c r="CC798" s="54"/>
      <c r="CD798" s="54"/>
      <c r="CE798" s="54"/>
      <c r="CF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  <c r="BI799" s="54"/>
      <c r="BJ799" s="54"/>
      <c r="BK799" s="54"/>
      <c r="BL799" s="54"/>
      <c r="BM799" s="54"/>
      <c r="BN799" s="54"/>
      <c r="BO799" s="54"/>
      <c r="BP799" s="54"/>
      <c r="BQ799" s="54"/>
      <c r="BR799" s="81"/>
      <c r="BS799" s="81"/>
      <c r="BT799" s="81"/>
      <c r="BU799" s="81"/>
      <c r="BV799" s="81"/>
      <c r="BW799" s="54"/>
      <c r="BX799" s="54"/>
      <c r="BY799" s="54"/>
      <c r="BZ799" s="54"/>
      <c r="CA799" s="54"/>
      <c r="CB799" s="54"/>
      <c r="CC799" s="54"/>
      <c r="CD799" s="54"/>
      <c r="CE799" s="54"/>
      <c r="CF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  <c r="BR800" s="81"/>
      <c r="BS800" s="81"/>
      <c r="BT800" s="81"/>
      <c r="BU800" s="81"/>
      <c r="BV800" s="81"/>
      <c r="BW800" s="54"/>
      <c r="BX800" s="54"/>
      <c r="BY800" s="54"/>
      <c r="BZ800" s="54"/>
      <c r="CA800" s="54"/>
      <c r="CB800" s="54"/>
      <c r="CC800" s="54"/>
      <c r="CD800" s="54"/>
      <c r="CE800" s="54"/>
      <c r="CF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  <c r="BR801" s="81"/>
      <c r="BS801" s="81"/>
      <c r="BT801" s="81"/>
      <c r="BU801" s="81"/>
      <c r="BV801" s="81"/>
      <c r="BW801" s="54"/>
      <c r="BX801" s="54"/>
      <c r="BY801" s="54"/>
      <c r="BZ801" s="54"/>
      <c r="CA801" s="54"/>
      <c r="CB801" s="54"/>
      <c r="CC801" s="54"/>
      <c r="CD801" s="54"/>
      <c r="CE801" s="54"/>
      <c r="CF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  <c r="BI802" s="54"/>
      <c r="BJ802" s="54"/>
      <c r="BK802" s="54"/>
      <c r="BL802" s="54"/>
      <c r="BM802" s="54"/>
      <c r="BN802" s="54"/>
      <c r="BO802" s="54"/>
      <c r="BP802" s="54"/>
      <c r="BQ802" s="54"/>
      <c r="BR802" s="81"/>
      <c r="BS802" s="81"/>
      <c r="BT802" s="81"/>
      <c r="BU802" s="81"/>
      <c r="BV802" s="81"/>
      <c r="BW802" s="54"/>
      <c r="BX802" s="54"/>
      <c r="BY802" s="54"/>
      <c r="BZ802" s="54"/>
      <c r="CA802" s="54"/>
      <c r="CB802" s="54"/>
      <c r="CC802" s="54"/>
      <c r="CD802" s="54"/>
      <c r="CE802" s="54"/>
      <c r="CF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4"/>
      <c r="BQ803" s="54"/>
      <c r="BR803" s="81"/>
      <c r="BS803" s="81"/>
      <c r="BT803" s="81"/>
      <c r="BU803" s="81"/>
      <c r="BV803" s="81"/>
      <c r="BW803" s="54"/>
      <c r="BX803" s="54"/>
      <c r="BY803" s="54"/>
      <c r="BZ803" s="54"/>
      <c r="CA803" s="54"/>
      <c r="CB803" s="54"/>
      <c r="CC803" s="54"/>
      <c r="CD803" s="54"/>
      <c r="CE803" s="54"/>
      <c r="CF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  <c r="BR804" s="81"/>
      <c r="BS804" s="81"/>
      <c r="BT804" s="81"/>
      <c r="BU804" s="81"/>
      <c r="BV804" s="81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54"/>
      <c r="BJ805" s="54"/>
      <c r="BK805" s="54"/>
      <c r="BL805" s="54"/>
      <c r="BM805" s="54"/>
      <c r="BN805" s="54"/>
      <c r="BO805" s="54"/>
      <c r="BP805" s="54"/>
      <c r="BQ805" s="54"/>
      <c r="BR805" s="81"/>
      <c r="BS805" s="81"/>
      <c r="BT805" s="81"/>
      <c r="BU805" s="81"/>
      <c r="BV805" s="81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4"/>
      <c r="BQ806" s="54"/>
      <c r="BR806" s="81"/>
      <c r="BS806" s="81"/>
      <c r="BT806" s="81"/>
      <c r="BU806" s="81"/>
      <c r="BV806" s="81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4"/>
      <c r="BQ807" s="54"/>
      <c r="BR807" s="81"/>
      <c r="BS807" s="81"/>
      <c r="BT807" s="81"/>
      <c r="BU807" s="81"/>
      <c r="BV807" s="81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81"/>
      <c r="BS808" s="81"/>
      <c r="BT808" s="81"/>
      <c r="BU808" s="81"/>
      <c r="BV808" s="81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81"/>
      <c r="BS809" s="81"/>
      <c r="BT809" s="81"/>
      <c r="BU809" s="81"/>
      <c r="BV809" s="81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81"/>
      <c r="BS810" s="81"/>
      <c r="BT810" s="81"/>
      <c r="BU810" s="81"/>
      <c r="BV810" s="81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81"/>
      <c r="BS811" s="81"/>
      <c r="BT811" s="81"/>
      <c r="BU811" s="81"/>
      <c r="BV811" s="81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81"/>
      <c r="BS812" s="81"/>
      <c r="BT812" s="81"/>
      <c r="BU812" s="81"/>
      <c r="BV812" s="81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81"/>
      <c r="BS813" s="81"/>
      <c r="BT813" s="81"/>
      <c r="BU813" s="81"/>
      <c r="BV813" s="81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81"/>
      <c r="BS814" s="81"/>
      <c r="BT814" s="81"/>
      <c r="BU814" s="81"/>
      <c r="BV814" s="81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81"/>
      <c r="BS815" s="81"/>
      <c r="BT815" s="81"/>
      <c r="BU815" s="81"/>
      <c r="BV815" s="81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81"/>
      <c r="BS816" s="81"/>
      <c r="BT816" s="81"/>
      <c r="BU816" s="81"/>
      <c r="BV816" s="81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81"/>
      <c r="BS817" s="81"/>
      <c r="BT817" s="81"/>
      <c r="BU817" s="81"/>
      <c r="BV817" s="81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81"/>
      <c r="BS818" s="81"/>
      <c r="BT818" s="81"/>
      <c r="BU818" s="81"/>
      <c r="BV818" s="81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81"/>
      <c r="BS819" s="81"/>
      <c r="BT819" s="81"/>
      <c r="BU819" s="81"/>
      <c r="BV819" s="81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4"/>
      <c r="BE820" s="54"/>
      <c r="BF820" s="54"/>
      <c r="BG820" s="54"/>
      <c r="BH820" s="54"/>
      <c r="BI820" s="54"/>
      <c r="BJ820" s="54"/>
      <c r="BK820" s="54"/>
      <c r="BL820" s="54"/>
      <c r="BM820" s="54"/>
      <c r="BN820" s="54"/>
      <c r="BO820" s="54"/>
      <c r="BP820" s="54"/>
      <c r="BQ820" s="54"/>
      <c r="BR820" s="81"/>
      <c r="BS820" s="81"/>
      <c r="BT820" s="81"/>
      <c r="BU820" s="81"/>
      <c r="BV820" s="81"/>
      <c r="BW820" s="54"/>
      <c r="BX820" s="54"/>
      <c r="BY820" s="54"/>
      <c r="BZ820" s="54"/>
      <c r="CA820" s="54"/>
      <c r="CB820" s="54"/>
      <c r="CC820" s="54"/>
      <c r="CD820" s="54"/>
      <c r="CE820" s="54"/>
      <c r="CF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81"/>
      <c r="BS821" s="81"/>
      <c r="BT821" s="81"/>
      <c r="BU821" s="81"/>
      <c r="BV821" s="81"/>
      <c r="BW821" s="54"/>
      <c r="BX821" s="54"/>
      <c r="BY821" s="54"/>
      <c r="BZ821" s="54"/>
      <c r="CA821" s="54"/>
      <c r="CB821" s="54"/>
      <c r="CC821" s="54"/>
      <c r="CD821" s="54"/>
      <c r="CE821" s="54"/>
      <c r="CF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4"/>
      <c r="BE822" s="54"/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4"/>
      <c r="BQ822" s="54"/>
      <c r="BR822" s="81"/>
      <c r="BS822" s="81"/>
      <c r="BT822" s="81"/>
      <c r="BU822" s="81"/>
      <c r="BV822" s="81"/>
      <c r="BW822" s="54"/>
      <c r="BX822" s="54"/>
      <c r="BY822" s="54"/>
      <c r="BZ822" s="54"/>
      <c r="CA822" s="54"/>
      <c r="CB822" s="54"/>
      <c r="CC822" s="54"/>
      <c r="CD822" s="54"/>
      <c r="CE822" s="54"/>
      <c r="CF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4"/>
      <c r="BE823" s="54"/>
      <c r="BF823" s="54"/>
      <c r="BG823" s="54"/>
      <c r="BH823" s="54"/>
      <c r="BI823" s="54"/>
      <c r="BJ823" s="54"/>
      <c r="BK823" s="54"/>
      <c r="BL823" s="54"/>
      <c r="BM823" s="54"/>
      <c r="BN823" s="54"/>
      <c r="BO823" s="54"/>
      <c r="BP823" s="54"/>
      <c r="BQ823" s="54"/>
      <c r="BR823" s="81"/>
      <c r="BS823" s="81"/>
      <c r="BT823" s="81"/>
      <c r="BU823" s="81"/>
      <c r="BV823" s="81"/>
      <c r="BW823" s="54"/>
      <c r="BX823" s="54"/>
      <c r="BY823" s="54"/>
      <c r="BZ823" s="54"/>
      <c r="CA823" s="54"/>
      <c r="CB823" s="54"/>
      <c r="CC823" s="54"/>
      <c r="CD823" s="54"/>
      <c r="CE823" s="54"/>
      <c r="CF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4"/>
      <c r="BQ824" s="54"/>
      <c r="BR824" s="81"/>
      <c r="BS824" s="81"/>
      <c r="BT824" s="81"/>
      <c r="BU824" s="81"/>
      <c r="BV824" s="81"/>
      <c r="BW824" s="54"/>
      <c r="BX824" s="54"/>
      <c r="BY824" s="54"/>
      <c r="BZ824" s="54"/>
      <c r="CA824" s="54"/>
      <c r="CB824" s="54"/>
      <c r="CC824" s="54"/>
      <c r="CD824" s="54"/>
      <c r="CE824" s="54"/>
      <c r="CF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4"/>
      <c r="BE825" s="54"/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  <c r="BR825" s="81"/>
      <c r="BS825" s="81"/>
      <c r="BT825" s="81"/>
      <c r="BU825" s="81"/>
      <c r="BV825" s="81"/>
      <c r="BW825" s="54"/>
      <c r="BX825" s="54"/>
      <c r="BY825" s="54"/>
      <c r="BZ825" s="54"/>
      <c r="CA825" s="54"/>
      <c r="CB825" s="54"/>
      <c r="CC825" s="54"/>
      <c r="CD825" s="54"/>
      <c r="CE825" s="54"/>
      <c r="CF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54"/>
      <c r="BP826" s="54"/>
      <c r="BQ826" s="54"/>
      <c r="BR826" s="81"/>
      <c r="BS826" s="81"/>
      <c r="BT826" s="81"/>
      <c r="BU826" s="81"/>
      <c r="BV826" s="81"/>
      <c r="BW826" s="54"/>
      <c r="BX826" s="54"/>
      <c r="BY826" s="54"/>
      <c r="BZ826" s="54"/>
      <c r="CA826" s="54"/>
      <c r="CB826" s="54"/>
      <c r="CC826" s="54"/>
      <c r="CD826" s="54"/>
      <c r="CE826" s="54"/>
      <c r="CF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4"/>
      <c r="BE827" s="54"/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4"/>
      <c r="BQ827" s="54"/>
      <c r="BR827" s="81"/>
      <c r="BS827" s="81"/>
      <c r="BT827" s="81"/>
      <c r="BU827" s="81"/>
      <c r="BV827" s="81"/>
      <c r="BW827" s="54"/>
      <c r="BX827" s="54"/>
      <c r="BY827" s="54"/>
      <c r="BZ827" s="54"/>
      <c r="CA827" s="54"/>
      <c r="CB827" s="54"/>
      <c r="CC827" s="54"/>
      <c r="CD827" s="54"/>
      <c r="CE827" s="54"/>
      <c r="CF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4"/>
      <c r="BQ828" s="54"/>
      <c r="BR828" s="81"/>
      <c r="BS828" s="81"/>
      <c r="BT828" s="81"/>
      <c r="BU828" s="81"/>
      <c r="BV828" s="81"/>
      <c r="BW828" s="54"/>
      <c r="BX828" s="54"/>
      <c r="BY828" s="54"/>
      <c r="BZ828" s="54"/>
      <c r="CA828" s="54"/>
      <c r="CB828" s="54"/>
      <c r="CC828" s="54"/>
      <c r="CD828" s="54"/>
      <c r="CE828" s="54"/>
      <c r="CF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4"/>
      <c r="BE829" s="54"/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4"/>
      <c r="BQ829" s="54"/>
      <c r="BR829" s="81"/>
      <c r="BS829" s="81"/>
      <c r="BT829" s="81"/>
      <c r="BU829" s="81"/>
      <c r="BV829" s="81"/>
      <c r="BW829" s="54"/>
      <c r="BX829" s="54"/>
      <c r="BY829" s="54"/>
      <c r="BZ829" s="54"/>
      <c r="CA829" s="54"/>
      <c r="CB829" s="54"/>
      <c r="CC829" s="54"/>
      <c r="CD829" s="54"/>
      <c r="CE829" s="54"/>
      <c r="CF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4"/>
      <c r="BE830" s="54"/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4"/>
      <c r="BQ830" s="54"/>
      <c r="BR830" s="81"/>
      <c r="BS830" s="81"/>
      <c r="BT830" s="81"/>
      <c r="BU830" s="81"/>
      <c r="BV830" s="81"/>
      <c r="BW830" s="54"/>
      <c r="BX830" s="54"/>
      <c r="BY830" s="54"/>
      <c r="BZ830" s="54"/>
      <c r="CA830" s="54"/>
      <c r="CB830" s="54"/>
      <c r="CC830" s="54"/>
      <c r="CD830" s="54"/>
      <c r="CE830" s="54"/>
      <c r="CF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4"/>
      <c r="BQ831" s="54"/>
      <c r="BR831" s="81"/>
      <c r="BS831" s="81"/>
      <c r="BT831" s="81"/>
      <c r="BU831" s="81"/>
      <c r="BV831" s="81"/>
      <c r="BW831" s="54"/>
      <c r="BX831" s="54"/>
      <c r="BY831" s="54"/>
      <c r="BZ831" s="54"/>
      <c r="CA831" s="54"/>
      <c r="CB831" s="54"/>
      <c r="CC831" s="54"/>
      <c r="CD831" s="54"/>
      <c r="CE831" s="54"/>
      <c r="CF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4"/>
      <c r="BP832" s="54"/>
      <c r="BQ832" s="54"/>
      <c r="BR832" s="81"/>
      <c r="BS832" s="81"/>
      <c r="BT832" s="81"/>
      <c r="BU832" s="81"/>
      <c r="BV832" s="81"/>
      <c r="BW832" s="54"/>
      <c r="BX832" s="54"/>
      <c r="BY832" s="54"/>
      <c r="BZ832" s="54"/>
      <c r="CA832" s="54"/>
      <c r="CB832" s="54"/>
      <c r="CC832" s="54"/>
      <c r="CD832" s="54"/>
      <c r="CE832" s="54"/>
      <c r="CF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  <c r="BD833" s="54"/>
      <c r="BE833" s="54"/>
      <c r="BF833" s="54"/>
      <c r="BG833" s="54"/>
      <c r="BH833" s="54"/>
      <c r="BI833" s="54"/>
      <c r="BJ833" s="54"/>
      <c r="BK833" s="54"/>
      <c r="BL833" s="54"/>
      <c r="BM833" s="54"/>
      <c r="BN833" s="54"/>
      <c r="BO833" s="54"/>
      <c r="BP833" s="54"/>
      <c r="BQ833" s="54"/>
      <c r="BR833" s="81"/>
      <c r="BS833" s="81"/>
      <c r="BT833" s="81"/>
      <c r="BU833" s="81"/>
      <c r="BV833" s="81"/>
      <c r="BW833" s="54"/>
      <c r="BX833" s="54"/>
      <c r="BY833" s="54"/>
      <c r="BZ833" s="54"/>
      <c r="CA833" s="54"/>
      <c r="CB833" s="54"/>
      <c r="CC833" s="54"/>
      <c r="CD833" s="54"/>
      <c r="CE833" s="54"/>
      <c r="CF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4"/>
      <c r="BE834" s="54"/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4"/>
      <c r="BQ834" s="54"/>
      <c r="BR834" s="81"/>
      <c r="BS834" s="81"/>
      <c r="BT834" s="81"/>
      <c r="BU834" s="81"/>
      <c r="BV834" s="81"/>
      <c r="BW834" s="54"/>
      <c r="BX834" s="54"/>
      <c r="BY834" s="54"/>
      <c r="BZ834" s="54"/>
      <c r="CA834" s="54"/>
      <c r="CB834" s="54"/>
      <c r="CC834" s="54"/>
      <c r="CD834" s="54"/>
      <c r="CE834" s="54"/>
      <c r="CF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4"/>
      <c r="BE835" s="54"/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4"/>
      <c r="BQ835" s="54"/>
      <c r="BR835" s="81"/>
      <c r="BS835" s="81"/>
      <c r="BT835" s="81"/>
      <c r="BU835" s="81"/>
      <c r="BV835" s="81"/>
      <c r="BW835" s="54"/>
      <c r="BX835" s="54"/>
      <c r="BY835" s="54"/>
      <c r="BZ835" s="54"/>
      <c r="CA835" s="54"/>
      <c r="CB835" s="54"/>
      <c r="CC835" s="54"/>
      <c r="CD835" s="54"/>
      <c r="CE835" s="54"/>
      <c r="CF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  <c r="BR836" s="81"/>
      <c r="BS836" s="81"/>
      <c r="BT836" s="81"/>
      <c r="BU836" s="81"/>
      <c r="BV836" s="81"/>
      <c r="BW836" s="54"/>
      <c r="BX836" s="54"/>
      <c r="BY836" s="54"/>
      <c r="BZ836" s="54"/>
      <c r="CA836" s="54"/>
      <c r="CB836" s="54"/>
      <c r="CC836" s="54"/>
      <c r="CD836" s="54"/>
      <c r="CE836" s="54"/>
      <c r="CF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4"/>
      <c r="BE837" s="54"/>
      <c r="BF837" s="54"/>
      <c r="BG837" s="54"/>
      <c r="BH837" s="54"/>
      <c r="BI837" s="54"/>
      <c r="BJ837" s="54"/>
      <c r="BK837" s="54"/>
      <c r="BL837" s="54"/>
      <c r="BM837" s="54"/>
      <c r="BN837" s="54"/>
      <c r="BO837" s="54"/>
      <c r="BP837" s="54"/>
      <c r="BQ837" s="54"/>
      <c r="BR837" s="81"/>
      <c r="BS837" s="81"/>
      <c r="BT837" s="81"/>
      <c r="BU837" s="81"/>
      <c r="BV837" s="81"/>
      <c r="BW837" s="54"/>
      <c r="BX837" s="54"/>
      <c r="BY837" s="54"/>
      <c r="BZ837" s="54"/>
      <c r="CA837" s="54"/>
      <c r="CB837" s="54"/>
      <c r="CC837" s="54"/>
      <c r="CD837" s="54"/>
      <c r="CE837" s="54"/>
      <c r="CF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4"/>
      <c r="BE838" s="54"/>
      <c r="BF838" s="54"/>
      <c r="BG838" s="54"/>
      <c r="BH838" s="54"/>
      <c r="BI838" s="54"/>
      <c r="BJ838" s="54"/>
      <c r="BK838" s="54"/>
      <c r="BL838" s="54"/>
      <c r="BM838" s="54"/>
      <c r="BN838" s="54"/>
      <c r="BO838" s="54"/>
      <c r="BP838" s="54"/>
      <c r="BQ838" s="54"/>
      <c r="BR838" s="81"/>
      <c r="BS838" s="81"/>
      <c r="BT838" s="81"/>
      <c r="BU838" s="81"/>
      <c r="BV838" s="81"/>
      <c r="BW838" s="54"/>
      <c r="BX838" s="54"/>
      <c r="BY838" s="54"/>
      <c r="BZ838" s="54"/>
      <c r="CA838" s="54"/>
      <c r="CB838" s="54"/>
      <c r="CC838" s="54"/>
      <c r="CD838" s="54"/>
      <c r="CE838" s="54"/>
      <c r="CF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4"/>
      <c r="BE839" s="54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  <c r="BR839" s="81"/>
      <c r="BS839" s="81"/>
      <c r="BT839" s="81"/>
      <c r="BU839" s="81"/>
      <c r="BV839" s="81"/>
      <c r="BW839" s="54"/>
      <c r="BX839" s="54"/>
      <c r="BY839" s="54"/>
      <c r="BZ839" s="54"/>
      <c r="CA839" s="54"/>
      <c r="CB839" s="54"/>
      <c r="CC839" s="54"/>
      <c r="CD839" s="54"/>
      <c r="CE839" s="54"/>
      <c r="CF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4"/>
      <c r="BE840" s="54"/>
      <c r="BF840" s="54"/>
      <c r="BG840" s="54"/>
      <c r="BH840" s="54"/>
      <c r="BI840" s="54"/>
      <c r="BJ840" s="54"/>
      <c r="BK840" s="54"/>
      <c r="BL840" s="54"/>
      <c r="BM840" s="54"/>
      <c r="BN840" s="54"/>
      <c r="BO840" s="54"/>
      <c r="BP840" s="54"/>
      <c r="BQ840" s="54"/>
      <c r="BR840" s="81"/>
      <c r="BS840" s="81"/>
      <c r="BT840" s="81"/>
      <c r="BU840" s="81"/>
      <c r="BV840" s="81"/>
      <c r="BW840" s="54"/>
      <c r="BX840" s="54"/>
      <c r="BY840" s="54"/>
      <c r="BZ840" s="54"/>
      <c r="CA840" s="54"/>
      <c r="CB840" s="54"/>
      <c r="CC840" s="54"/>
      <c r="CD840" s="54"/>
      <c r="CE840" s="54"/>
      <c r="CF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4"/>
      <c r="BQ841" s="54"/>
      <c r="BR841" s="81"/>
      <c r="BS841" s="81"/>
      <c r="BT841" s="81"/>
      <c r="BU841" s="81"/>
      <c r="BV841" s="81"/>
      <c r="BW841" s="54"/>
      <c r="BX841" s="54"/>
      <c r="BY841" s="54"/>
      <c r="BZ841" s="54"/>
      <c r="CA841" s="54"/>
      <c r="CB841" s="54"/>
      <c r="CC841" s="54"/>
      <c r="CD841" s="54"/>
      <c r="CE841" s="54"/>
      <c r="CF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4"/>
      <c r="BQ842" s="54"/>
      <c r="BR842" s="81"/>
      <c r="BS842" s="81"/>
      <c r="BT842" s="81"/>
      <c r="BU842" s="81"/>
      <c r="BV842" s="81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4"/>
      <c r="BQ843" s="54"/>
      <c r="BR843" s="81"/>
      <c r="BS843" s="81"/>
      <c r="BT843" s="81"/>
      <c r="BU843" s="81"/>
      <c r="BV843" s="81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4"/>
      <c r="BE844" s="54"/>
      <c r="BF844" s="54"/>
      <c r="BG844" s="54"/>
      <c r="BH844" s="54"/>
      <c r="BI844" s="54"/>
      <c r="BJ844" s="54"/>
      <c r="BK844" s="54"/>
      <c r="BL844" s="54"/>
      <c r="BM844" s="54"/>
      <c r="BN844" s="54"/>
      <c r="BO844" s="54"/>
      <c r="BP844" s="54"/>
      <c r="BQ844" s="54"/>
      <c r="BR844" s="81"/>
      <c r="BS844" s="81"/>
      <c r="BT844" s="81"/>
      <c r="BU844" s="81"/>
      <c r="BV844" s="81"/>
      <c r="BW844" s="54"/>
      <c r="BX844" s="54"/>
      <c r="BY844" s="54"/>
      <c r="BZ844" s="54"/>
      <c r="CA844" s="54"/>
      <c r="CB844" s="54"/>
      <c r="CC844" s="54"/>
      <c r="CD844" s="54"/>
      <c r="CE844" s="54"/>
      <c r="CF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4"/>
      <c r="BE845" s="54"/>
      <c r="BF845" s="54"/>
      <c r="BG845" s="54"/>
      <c r="BH845" s="54"/>
      <c r="BI845" s="54"/>
      <c r="BJ845" s="54"/>
      <c r="BK845" s="54"/>
      <c r="BL845" s="54"/>
      <c r="BM845" s="54"/>
      <c r="BN845" s="54"/>
      <c r="BO845" s="54"/>
      <c r="BP845" s="54"/>
      <c r="BQ845" s="54"/>
      <c r="BR845" s="81"/>
      <c r="BS845" s="81"/>
      <c r="BT845" s="81"/>
      <c r="BU845" s="81"/>
      <c r="BV845" s="81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81"/>
      <c r="BS846" s="81"/>
      <c r="BT846" s="81"/>
      <c r="BU846" s="81"/>
      <c r="BV846" s="81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81"/>
      <c r="BS847" s="81"/>
      <c r="BT847" s="81"/>
      <c r="BU847" s="81"/>
      <c r="BV847" s="81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81"/>
      <c r="BS848" s="81"/>
      <c r="BT848" s="81"/>
      <c r="BU848" s="81"/>
      <c r="BV848" s="81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81"/>
      <c r="BS849" s="81"/>
      <c r="BT849" s="81"/>
      <c r="BU849" s="81"/>
      <c r="BV849" s="81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81"/>
      <c r="BS850" s="81"/>
      <c r="BT850" s="81"/>
      <c r="BU850" s="81"/>
      <c r="BV850" s="81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81"/>
      <c r="BS851" s="81"/>
      <c r="BT851" s="81"/>
      <c r="BU851" s="81"/>
      <c r="BV851" s="81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81"/>
      <c r="BS852" s="81"/>
      <c r="BT852" s="81"/>
      <c r="BU852" s="81"/>
      <c r="BV852" s="81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81"/>
      <c r="BS853" s="81"/>
      <c r="BT853" s="81"/>
      <c r="BU853" s="81"/>
      <c r="BV853" s="81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81"/>
      <c r="BS854" s="81"/>
      <c r="BT854" s="81"/>
      <c r="BU854" s="81"/>
      <c r="BV854" s="81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81"/>
      <c r="BS855" s="81"/>
      <c r="BT855" s="81"/>
      <c r="BU855" s="81"/>
      <c r="BV855" s="81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81"/>
      <c r="BS856" s="81"/>
      <c r="BT856" s="81"/>
      <c r="BU856" s="81"/>
      <c r="BV856" s="81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81"/>
      <c r="BS857" s="81"/>
      <c r="BT857" s="81"/>
      <c r="BU857" s="81"/>
      <c r="BV857" s="81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81"/>
      <c r="BS858" s="81"/>
      <c r="BT858" s="81"/>
      <c r="BU858" s="81"/>
      <c r="BV858" s="81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81"/>
      <c r="BS859" s="81"/>
      <c r="BT859" s="81"/>
      <c r="BU859" s="81"/>
      <c r="BV859" s="81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4"/>
      <c r="BE860" s="54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81"/>
      <c r="BS860" s="81"/>
      <c r="BT860" s="81"/>
      <c r="BU860" s="81"/>
      <c r="BV860" s="81"/>
      <c r="BW860" s="54"/>
      <c r="BX860" s="54"/>
      <c r="BY860" s="54"/>
      <c r="BZ860" s="54"/>
      <c r="CA860" s="54"/>
      <c r="CB860" s="54"/>
      <c r="CC860" s="54"/>
      <c r="CD860" s="54"/>
      <c r="CE860" s="54"/>
      <c r="CF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  <c r="BR861" s="81"/>
      <c r="BS861" s="81"/>
      <c r="BT861" s="81"/>
      <c r="BU861" s="81"/>
      <c r="BV861" s="81"/>
      <c r="BW861" s="54"/>
      <c r="BX861" s="54"/>
      <c r="BY861" s="54"/>
      <c r="BZ861" s="54"/>
      <c r="CA861" s="54"/>
      <c r="CB861" s="54"/>
      <c r="CC861" s="54"/>
      <c r="CD861" s="54"/>
      <c r="CE861" s="54"/>
      <c r="CF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  <c r="BD862" s="54"/>
      <c r="BE862" s="54"/>
      <c r="BF862" s="54"/>
      <c r="BG862" s="54"/>
      <c r="BH862" s="54"/>
      <c r="BI862" s="54"/>
      <c r="BJ862" s="54"/>
      <c r="BK862" s="54"/>
      <c r="BL862" s="54"/>
      <c r="BM862" s="54"/>
      <c r="BN862" s="54"/>
      <c r="BO862" s="54"/>
      <c r="BP862" s="54"/>
      <c r="BQ862" s="54"/>
      <c r="BR862" s="81"/>
      <c r="BS862" s="81"/>
      <c r="BT862" s="81"/>
      <c r="BU862" s="81"/>
      <c r="BV862" s="81"/>
      <c r="BW862" s="54"/>
      <c r="BX862" s="54"/>
      <c r="BY862" s="54"/>
      <c r="BZ862" s="54"/>
      <c r="CA862" s="54"/>
      <c r="CB862" s="54"/>
      <c r="CC862" s="54"/>
      <c r="CD862" s="54"/>
      <c r="CE862" s="54"/>
      <c r="CF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4"/>
      <c r="BE863" s="54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81"/>
      <c r="BS863" s="81"/>
      <c r="BT863" s="81"/>
      <c r="BU863" s="81"/>
      <c r="BV863" s="81"/>
      <c r="BW863" s="54"/>
      <c r="BX863" s="54"/>
      <c r="BY863" s="54"/>
      <c r="BZ863" s="54"/>
      <c r="CA863" s="54"/>
      <c r="CB863" s="54"/>
      <c r="CC863" s="54"/>
      <c r="CD863" s="54"/>
      <c r="CE863" s="54"/>
      <c r="CF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4"/>
      <c r="BQ864" s="54"/>
      <c r="BR864" s="81"/>
      <c r="BS864" s="81"/>
      <c r="BT864" s="81"/>
      <c r="BU864" s="81"/>
      <c r="BV864" s="81"/>
      <c r="BW864" s="54"/>
      <c r="BX864" s="54"/>
      <c r="BY864" s="54"/>
      <c r="BZ864" s="54"/>
      <c r="CA864" s="54"/>
      <c r="CB864" s="54"/>
      <c r="CC864" s="54"/>
      <c r="CD864" s="54"/>
      <c r="CE864" s="54"/>
      <c r="CF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4"/>
      <c r="BE865" s="54"/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4"/>
      <c r="BQ865" s="54"/>
      <c r="BR865" s="81"/>
      <c r="BS865" s="81"/>
      <c r="BT865" s="81"/>
      <c r="BU865" s="81"/>
      <c r="BV865" s="81"/>
      <c r="BW865" s="54"/>
      <c r="BX865" s="54"/>
      <c r="BY865" s="54"/>
      <c r="BZ865" s="54"/>
      <c r="CA865" s="54"/>
      <c r="CB865" s="54"/>
      <c r="CC865" s="54"/>
      <c r="CD865" s="54"/>
      <c r="CE865" s="54"/>
      <c r="CF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4"/>
      <c r="BQ866" s="54"/>
      <c r="BR866" s="81"/>
      <c r="BS866" s="81"/>
      <c r="BT866" s="81"/>
      <c r="BU866" s="81"/>
      <c r="BV866" s="81"/>
      <c r="BW866" s="54"/>
      <c r="BX866" s="54"/>
      <c r="BY866" s="54"/>
      <c r="BZ866" s="54"/>
      <c r="CA866" s="54"/>
      <c r="CB866" s="54"/>
      <c r="CC866" s="54"/>
      <c r="CD866" s="54"/>
      <c r="CE866" s="54"/>
      <c r="CF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  <c r="BR867" s="81"/>
      <c r="BS867" s="81"/>
      <c r="BT867" s="81"/>
      <c r="BU867" s="81"/>
      <c r="BV867" s="81"/>
      <c r="BW867" s="54"/>
      <c r="BX867" s="54"/>
      <c r="BY867" s="54"/>
      <c r="BZ867" s="54"/>
      <c r="CA867" s="54"/>
      <c r="CB867" s="54"/>
      <c r="CC867" s="54"/>
      <c r="CD867" s="54"/>
      <c r="CE867" s="54"/>
      <c r="CF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54"/>
      <c r="BP868" s="54"/>
      <c r="BQ868" s="54"/>
      <c r="BR868" s="81"/>
      <c r="BS868" s="81"/>
      <c r="BT868" s="81"/>
      <c r="BU868" s="81"/>
      <c r="BV868" s="81"/>
      <c r="BW868" s="54"/>
      <c r="BX868" s="54"/>
      <c r="BY868" s="54"/>
      <c r="BZ868" s="54"/>
      <c r="CA868" s="54"/>
      <c r="CB868" s="54"/>
      <c r="CC868" s="54"/>
      <c r="CD868" s="54"/>
      <c r="CE868" s="54"/>
      <c r="CF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4"/>
      <c r="BE869" s="54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  <c r="BR869" s="81"/>
      <c r="BS869" s="81"/>
      <c r="BT869" s="81"/>
      <c r="BU869" s="81"/>
      <c r="BV869" s="81"/>
      <c r="BW869" s="54"/>
      <c r="BX869" s="54"/>
      <c r="BY869" s="54"/>
      <c r="BZ869" s="54"/>
      <c r="CA869" s="54"/>
      <c r="CB869" s="54"/>
      <c r="CC869" s="54"/>
      <c r="CD869" s="54"/>
      <c r="CE869" s="54"/>
      <c r="CF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4"/>
      <c r="BE870" s="54"/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4"/>
      <c r="BQ870" s="54"/>
      <c r="BR870" s="81"/>
      <c r="BS870" s="81"/>
      <c r="BT870" s="81"/>
      <c r="BU870" s="81"/>
      <c r="BV870" s="81"/>
      <c r="BW870" s="54"/>
      <c r="BX870" s="54"/>
      <c r="BY870" s="54"/>
      <c r="BZ870" s="54"/>
      <c r="CA870" s="54"/>
      <c r="CB870" s="54"/>
      <c r="CC870" s="54"/>
      <c r="CD870" s="54"/>
      <c r="CE870" s="54"/>
      <c r="CF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4"/>
      <c r="BE871" s="54"/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4"/>
      <c r="BQ871" s="54"/>
      <c r="BR871" s="81"/>
      <c r="BS871" s="81"/>
      <c r="BT871" s="81"/>
      <c r="BU871" s="81"/>
      <c r="BV871" s="81"/>
      <c r="BW871" s="54"/>
      <c r="BX871" s="54"/>
      <c r="BY871" s="54"/>
      <c r="BZ871" s="54"/>
      <c r="CA871" s="54"/>
      <c r="CB871" s="54"/>
      <c r="CC871" s="54"/>
      <c r="CD871" s="54"/>
      <c r="CE871" s="54"/>
      <c r="CF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4"/>
      <c r="BQ872" s="54"/>
      <c r="BR872" s="81"/>
      <c r="BS872" s="81"/>
      <c r="BT872" s="81"/>
      <c r="BU872" s="81"/>
      <c r="BV872" s="81"/>
      <c r="BW872" s="54"/>
      <c r="BX872" s="54"/>
      <c r="BY872" s="54"/>
      <c r="BZ872" s="54"/>
      <c r="CA872" s="54"/>
      <c r="CB872" s="54"/>
      <c r="CC872" s="54"/>
      <c r="CD872" s="54"/>
      <c r="CE872" s="54"/>
      <c r="CF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4"/>
      <c r="BE873" s="54"/>
      <c r="BF873" s="54"/>
      <c r="BG873" s="54"/>
      <c r="BH873" s="54"/>
      <c r="BI873" s="54"/>
      <c r="BJ873" s="54"/>
      <c r="BK873" s="54"/>
      <c r="BL873" s="54"/>
      <c r="BM873" s="54"/>
      <c r="BN873" s="54"/>
      <c r="BO873" s="54"/>
      <c r="BP873" s="54"/>
      <c r="BQ873" s="54"/>
      <c r="BR873" s="81"/>
      <c r="BS873" s="81"/>
      <c r="BT873" s="81"/>
      <c r="BU873" s="81"/>
      <c r="BV873" s="81"/>
      <c r="BW873" s="54"/>
      <c r="BX873" s="54"/>
      <c r="BY873" s="54"/>
      <c r="BZ873" s="54"/>
      <c r="CA873" s="54"/>
      <c r="CB873" s="54"/>
      <c r="CC873" s="54"/>
      <c r="CD873" s="54"/>
      <c r="CE873" s="54"/>
      <c r="CF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4"/>
      <c r="BE874" s="54"/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4"/>
      <c r="BQ874" s="54"/>
      <c r="BR874" s="81"/>
      <c r="BS874" s="81"/>
      <c r="BT874" s="81"/>
      <c r="BU874" s="81"/>
      <c r="BV874" s="81"/>
      <c r="BW874" s="54"/>
      <c r="BX874" s="54"/>
      <c r="BY874" s="54"/>
      <c r="BZ874" s="54"/>
      <c r="CA874" s="54"/>
      <c r="CB874" s="54"/>
      <c r="CC874" s="54"/>
      <c r="CD874" s="54"/>
      <c r="CE874" s="54"/>
      <c r="CF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4"/>
      <c r="BE875" s="54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4"/>
      <c r="BQ875" s="54"/>
      <c r="BR875" s="81"/>
      <c r="BS875" s="81"/>
      <c r="BT875" s="81"/>
      <c r="BU875" s="81"/>
      <c r="BV875" s="81"/>
      <c r="BW875" s="54"/>
      <c r="BX875" s="54"/>
      <c r="BY875" s="54"/>
      <c r="BZ875" s="54"/>
      <c r="CA875" s="54"/>
      <c r="CB875" s="54"/>
      <c r="CC875" s="54"/>
      <c r="CD875" s="54"/>
      <c r="CE875" s="54"/>
      <c r="CF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4"/>
      <c r="BE876" s="54"/>
      <c r="BF876" s="54"/>
      <c r="BG876" s="54"/>
      <c r="BH876" s="54"/>
      <c r="BI876" s="54"/>
      <c r="BJ876" s="54"/>
      <c r="BK876" s="54"/>
      <c r="BL876" s="54"/>
      <c r="BM876" s="54"/>
      <c r="BN876" s="54"/>
      <c r="BO876" s="54"/>
      <c r="BP876" s="54"/>
      <c r="BQ876" s="54"/>
      <c r="BR876" s="81"/>
      <c r="BS876" s="81"/>
      <c r="BT876" s="81"/>
      <c r="BU876" s="81"/>
      <c r="BV876" s="81"/>
      <c r="BW876" s="54"/>
      <c r="BX876" s="54"/>
      <c r="BY876" s="54"/>
      <c r="BZ876" s="54"/>
      <c r="CA876" s="54"/>
      <c r="CB876" s="54"/>
      <c r="CC876" s="54"/>
      <c r="CD876" s="54"/>
      <c r="CE876" s="54"/>
      <c r="CF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4"/>
      <c r="BE877" s="54"/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4"/>
      <c r="BQ877" s="54"/>
      <c r="BR877" s="81"/>
      <c r="BS877" s="81"/>
      <c r="BT877" s="81"/>
      <c r="BU877" s="81"/>
      <c r="BV877" s="81"/>
      <c r="BW877" s="54"/>
      <c r="BX877" s="54"/>
      <c r="BY877" s="54"/>
      <c r="BZ877" s="54"/>
      <c r="CA877" s="54"/>
      <c r="CB877" s="54"/>
      <c r="CC877" s="54"/>
      <c r="CD877" s="54"/>
      <c r="CE877" s="54"/>
      <c r="CF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4"/>
      <c r="BE878" s="54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  <c r="BR878" s="81"/>
      <c r="BS878" s="81"/>
      <c r="BT878" s="81"/>
      <c r="BU878" s="81"/>
      <c r="BV878" s="81"/>
      <c r="BW878" s="54"/>
      <c r="BX878" s="54"/>
      <c r="BY878" s="54"/>
      <c r="BZ878" s="54"/>
      <c r="CA878" s="54"/>
      <c r="CB878" s="54"/>
      <c r="CC878" s="54"/>
      <c r="CD878" s="54"/>
      <c r="CE878" s="54"/>
      <c r="CF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4"/>
      <c r="BE879" s="54"/>
      <c r="BF879" s="54"/>
      <c r="BG879" s="54"/>
      <c r="BH879" s="54"/>
      <c r="BI879" s="54"/>
      <c r="BJ879" s="54"/>
      <c r="BK879" s="54"/>
      <c r="BL879" s="54"/>
      <c r="BM879" s="54"/>
      <c r="BN879" s="54"/>
      <c r="BO879" s="54"/>
      <c r="BP879" s="54"/>
      <c r="BQ879" s="54"/>
      <c r="BR879" s="81"/>
      <c r="BS879" s="81"/>
      <c r="BT879" s="81"/>
      <c r="BU879" s="81"/>
      <c r="BV879" s="81"/>
      <c r="BW879" s="54"/>
      <c r="BX879" s="54"/>
      <c r="BY879" s="54"/>
      <c r="BZ879" s="54"/>
      <c r="CA879" s="54"/>
      <c r="CB879" s="54"/>
      <c r="CC879" s="54"/>
      <c r="CD879" s="54"/>
      <c r="CE879" s="54"/>
      <c r="CF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4"/>
      <c r="BQ880" s="54"/>
      <c r="BR880" s="81"/>
      <c r="BS880" s="81"/>
      <c r="BT880" s="81"/>
      <c r="BU880" s="81"/>
      <c r="BV880" s="81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  <c r="BR881" s="81"/>
      <c r="BS881" s="81"/>
      <c r="BT881" s="81"/>
      <c r="BU881" s="81"/>
      <c r="BV881" s="81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4"/>
      <c r="BE882" s="54"/>
      <c r="BF882" s="54"/>
      <c r="BG882" s="54"/>
      <c r="BH882" s="54"/>
      <c r="BI882" s="54"/>
      <c r="BJ882" s="54"/>
      <c r="BK882" s="54"/>
      <c r="BL882" s="54"/>
      <c r="BM882" s="54"/>
      <c r="BN882" s="54"/>
      <c r="BO882" s="54"/>
      <c r="BP882" s="54"/>
      <c r="BQ882" s="54"/>
      <c r="BR882" s="81"/>
      <c r="BS882" s="81"/>
      <c r="BT882" s="81"/>
      <c r="BU882" s="81"/>
      <c r="BV882" s="81"/>
      <c r="BW882" s="54"/>
      <c r="BX882" s="54"/>
      <c r="BY882" s="54"/>
      <c r="BZ882" s="54"/>
      <c r="CA882" s="54"/>
      <c r="CB882" s="54"/>
      <c r="CC882" s="54"/>
      <c r="CD882" s="54"/>
      <c r="CE882" s="54"/>
      <c r="CF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4"/>
      <c r="BE883" s="54"/>
      <c r="BF883" s="54"/>
      <c r="BG883" s="54"/>
      <c r="BH883" s="54"/>
      <c r="BI883" s="54"/>
      <c r="BJ883" s="54"/>
      <c r="BK883" s="54"/>
      <c r="BL883" s="54"/>
      <c r="BM883" s="54"/>
      <c r="BN883" s="54"/>
      <c r="BO883" s="54"/>
      <c r="BP883" s="54"/>
      <c r="BQ883" s="54"/>
      <c r="BR883" s="81"/>
      <c r="BS883" s="81"/>
      <c r="BT883" s="81"/>
      <c r="BU883" s="81"/>
      <c r="BV883" s="81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81"/>
      <c r="BS884" s="81"/>
      <c r="BT884" s="81"/>
      <c r="BU884" s="81"/>
      <c r="BV884" s="81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81"/>
      <c r="BS885" s="81"/>
      <c r="BT885" s="81"/>
      <c r="BU885" s="81"/>
      <c r="BV885" s="81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81"/>
      <c r="BS886" s="81"/>
      <c r="BT886" s="81"/>
      <c r="BU886" s="81"/>
      <c r="BV886" s="81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81"/>
      <c r="BS887" s="81"/>
      <c r="BT887" s="81"/>
      <c r="BU887" s="81"/>
      <c r="BV887" s="81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81"/>
      <c r="BS888" s="81"/>
      <c r="BT888" s="81"/>
      <c r="BU888" s="81"/>
      <c r="BV888" s="81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81"/>
      <c r="BS889" s="81"/>
      <c r="BT889" s="81"/>
      <c r="BU889" s="81"/>
      <c r="BV889" s="81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81"/>
      <c r="BS890" s="81"/>
      <c r="BT890" s="81"/>
      <c r="BU890" s="81"/>
      <c r="BV890" s="81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81"/>
      <c r="BS891" s="81"/>
      <c r="BT891" s="81"/>
      <c r="BU891" s="81"/>
      <c r="BV891" s="81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81"/>
      <c r="BS892" s="81"/>
      <c r="BT892" s="81"/>
      <c r="BU892" s="81"/>
      <c r="BV892" s="81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81"/>
      <c r="BS893" s="81"/>
      <c r="BT893" s="81"/>
      <c r="BU893" s="81"/>
      <c r="BV893" s="81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81"/>
      <c r="BS894" s="81"/>
      <c r="BT894" s="81"/>
      <c r="BU894" s="81"/>
      <c r="BV894" s="81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81"/>
      <c r="BS895" s="81"/>
      <c r="BT895" s="81"/>
      <c r="BU895" s="81"/>
      <c r="BV895" s="81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81"/>
      <c r="BS896" s="81"/>
      <c r="BT896" s="81"/>
      <c r="BU896" s="81"/>
      <c r="BV896" s="81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81"/>
      <c r="BS897" s="81"/>
      <c r="BT897" s="81"/>
      <c r="BU897" s="81"/>
      <c r="BV897" s="81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81"/>
      <c r="BS898" s="81"/>
      <c r="BT898" s="81"/>
      <c r="BU898" s="81"/>
      <c r="BV898" s="81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81"/>
      <c r="BS899" s="81"/>
      <c r="BT899" s="81"/>
      <c r="BU899" s="81"/>
      <c r="BV899" s="81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  <c r="BI900" s="54"/>
      <c r="BJ900" s="54"/>
      <c r="BK900" s="54"/>
      <c r="BL900" s="54"/>
      <c r="BM900" s="54"/>
      <c r="BN900" s="54"/>
      <c r="BO900" s="54"/>
      <c r="BP900" s="54"/>
      <c r="BQ900" s="54"/>
      <c r="BR900" s="81"/>
      <c r="BS900" s="81"/>
      <c r="BT900" s="81"/>
      <c r="BU900" s="81"/>
      <c r="BV900" s="81"/>
      <c r="BW900" s="54"/>
      <c r="BX900" s="54"/>
      <c r="BY900" s="54"/>
      <c r="BZ900" s="54"/>
      <c r="CA900" s="54"/>
      <c r="CB900" s="54"/>
      <c r="CC900" s="54"/>
      <c r="CD900" s="54"/>
      <c r="CE900" s="54"/>
      <c r="CF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  <c r="BI901" s="54"/>
      <c r="BJ901" s="54"/>
      <c r="BK901" s="54"/>
      <c r="BL901" s="54"/>
      <c r="BM901" s="54"/>
      <c r="BN901" s="54"/>
      <c r="BO901" s="54"/>
      <c r="BP901" s="54"/>
      <c r="BQ901" s="54"/>
      <c r="BR901" s="81"/>
      <c r="BS901" s="81"/>
      <c r="BT901" s="81"/>
      <c r="BU901" s="81"/>
      <c r="BV901" s="81"/>
      <c r="BW901" s="54"/>
      <c r="BX901" s="54"/>
      <c r="BY901" s="54"/>
      <c r="BZ901" s="54"/>
      <c r="CA901" s="54"/>
      <c r="CB901" s="54"/>
      <c r="CC901" s="54"/>
      <c r="CD901" s="54"/>
      <c r="CE901" s="54"/>
      <c r="CF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  <c r="BR902" s="81"/>
      <c r="BS902" s="81"/>
      <c r="BT902" s="81"/>
      <c r="BU902" s="81"/>
      <c r="BV902" s="81"/>
      <c r="BW902" s="54"/>
      <c r="BX902" s="54"/>
      <c r="BY902" s="54"/>
      <c r="BZ902" s="54"/>
      <c r="CA902" s="54"/>
      <c r="CB902" s="54"/>
      <c r="CC902" s="54"/>
      <c r="CD902" s="54"/>
      <c r="CE902" s="54"/>
      <c r="CF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4"/>
      <c r="BQ903" s="54"/>
      <c r="BR903" s="81"/>
      <c r="BS903" s="81"/>
      <c r="BT903" s="81"/>
      <c r="BU903" s="81"/>
      <c r="BV903" s="81"/>
      <c r="BW903" s="54"/>
      <c r="BX903" s="54"/>
      <c r="BY903" s="54"/>
      <c r="BZ903" s="54"/>
      <c r="CA903" s="54"/>
      <c r="CB903" s="54"/>
      <c r="CC903" s="54"/>
      <c r="CD903" s="54"/>
      <c r="CE903" s="54"/>
      <c r="CF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54"/>
      <c r="BP904" s="54"/>
      <c r="BQ904" s="54"/>
      <c r="BR904" s="81"/>
      <c r="BS904" s="81"/>
      <c r="BT904" s="81"/>
      <c r="BU904" s="81"/>
      <c r="BV904" s="81"/>
      <c r="BW904" s="54"/>
      <c r="BX904" s="54"/>
      <c r="BY904" s="54"/>
      <c r="BZ904" s="54"/>
      <c r="CA904" s="54"/>
      <c r="CB904" s="54"/>
      <c r="CC904" s="54"/>
      <c r="CD904" s="54"/>
      <c r="CE904" s="54"/>
      <c r="CF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  <c r="BR905" s="81"/>
      <c r="BS905" s="81"/>
      <c r="BT905" s="81"/>
      <c r="BU905" s="81"/>
      <c r="BV905" s="81"/>
      <c r="BW905" s="54"/>
      <c r="BX905" s="54"/>
      <c r="BY905" s="54"/>
      <c r="BZ905" s="54"/>
      <c r="CA905" s="54"/>
      <c r="CB905" s="54"/>
      <c r="CC905" s="54"/>
      <c r="CD905" s="54"/>
      <c r="CE905" s="54"/>
      <c r="CF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4"/>
      <c r="BQ906" s="54"/>
      <c r="BR906" s="81"/>
      <c r="BS906" s="81"/>
      <c r="BT906" s="81"/>
      <c r="BU906" s="81"/>
      <c r="BV906" s="81"/>
      <c r="BW906" s="54"/>
      <c r="BX906" s="54"/>
      <c r="BY906" s="54"/>
      <c r="BZ906" s="54"/>
      <c r="CA906" s="54"/>
      <c r="CB906" s="54"/>
      <c r="CC906" s="54"/>
      <c r="CD906" s="54"/>
      <c r="CE906" s="54"/>
      <c r="CF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  <c r="BI907" s="54"/>
      <c r="BJ907" s="54"/>
      <c r="BK907" s="54"/>
      <c r="BL907" s="54"/>
      <c r="BM907" s="54"/>
      <c r="BN907" s="54"/>
      <c r="BO907" s="54"/>
      <c r="BP907" s="54"/>
      <c r="BQ907" s="54"/>
      <c r="BR907" s="81"/>
      <c r="BS907" s="81"/>
      <c r="BT907" s="81"/>
      <c r="BU907" s="81"/>
      <c r="BV907" s="81"/>
      <c r="BW907" s="54"/>
      <c r="BX907" s="54"/>
      <c r="BY907" s="54"/>
      <c r="BZ907" s="54"/>
      <c r="CA907" s="54"/>
      <c r="CB907" s="54"/>
      <c r="CC907" s="54"/>
      <c r="CD907" s="54"/>
      <c r="CE907" s="54"/>
      <c r="CF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4"/>
      <c r="BQ908" s="54"/>
      <c r="BR908" s="81"/>
      <c r="BS908" s="81"/>
      <c r="BT908" s="81"/>
      <c r="BU908" s="81"/>
      <c r="BV908" s="81"/>
      <c r="BW908" s="54"/>
      <c r="BX908" s="54"/>
      <c r="BY908" s="54"/>
      <c r="BZ908" s="54"/>
      <c r="CA908" s="54"/>
      <c r="CB908" s="54"/>
      <c r="CC908" s="54"/>
      <c r="CD908" s="54"/>
      <c r="CE908" s="54"/>
      <c r="CF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4"/>
      <c r="BQ909" s="54"/>
      <c r="BR909" s="81"/>
      <c r="BS909" s="81"/>
      <c r="BT909" s="81"/>
      <c r="BU909" s="81"/>
      <c r="BV909" s="81"/>
      <c r="BW909" s="54"/>
      <c r="BX909" s="54"/>
      <c r="BY909" s="54"/>
      <c r="BZ909" s="54"/>
      <c r="CA909" s="54"/>
      <c r="CB909" s="54"/>
      <c r="CC909" s="54"/>
      <c r="CD909" s="54"/>
      <c r="CE909" s="54"/>
      <c r="CF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  <c r="BI910" s="54"/>
      <c r="BJ910" s="54"/>
      <c r="BK910" s="54"/>
      <c r="BL910" s="54"/>
      <c r="BM910" s="54"/>
      <c r="BN910" s="54"/>
      <c r="BO910" s="54"/>
      <c r="BP910" s="54"/>
      <c r="BQ910" s="54"/>
      <c r="BR910" s="81"/>
      <c r="BS910" s="81"/>
      <c r="BT910" s="81"/>
      <c r="BU910" s="81"/>
      <c r="BV910" s="81"/>
      <c r="BW910" s="54"/>
      <c r="BX910" s="54"/>
      <c r="BY910" s="54"/>
      <c r="BZ910" s="54"/>
      <c r="CA910" s="54"/>
      <c r="CB910" s="54"/>
      <c r="CC910" s="54"/>
      <c r="CD910" s="54"/>
      <c r="CE910" s="54"/>
      <c r="CF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4"/>
      <c r="BQ911" s="54"/>
      <c r="BR911" s="81"/>
      <c r="BS911" s="81"/>
      <c r="BT911" s="81"/>
      <c r="BU911" s="81"/>
      <c r="BV911" s="81"/>
      <c r="BW911" s="54"/>
      <c r="BX911" s="54"/>
      <c r="BY911" s="54"/>
      <c r="BZ911" s="54"/>
      <c r="CA911" s="54"/>
      <c r="CB911" s="54"/>
      <c r="CC911" s="54"/>
      <c r="CD911" s="54"/>
      <c r="CE911" s="54"/>
      <c r="CF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4"/>
      <c r="BQ912" s="54"/>
      <c r="BR912" s="81"/>
      <c r="BS912" s="81"/>
      <c r="BT912" s="81"/>
      <c r="BU912" s="81"/>
      <c r="BV912" s="81"/>
      <c r="BW912" s="54"/>
      <c r="BX912" s="54"/>
      <c r="BY912" s="54"/>
      <c r="BZ912" s="54"/>
      <c r="CA912" s="54"/>
      <c r="CB912" s="54"/>
      <c r="CC912" s="54"/>
      <c r="CD912" s="54"/>
      <c r="CE912" s="54"/>
      <c r="CF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4"/>
      <c r="BE913" s="54"/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4"/>
      <c r="BQ913" s="54"/>
      <c r="BR913" s="81"/>
      <c r="BS913" s="81"/>
      <c r="BT913" s="81"/>
      <c r="BU913" s="81"/>
      <c r="BV913" s="81"/>
      <c r="BW913" s="54"/>
      <c r="BX913" s="54"/>
      <c r="BY913" s="54"/>
      <c r="BZ913" s="54"/>
      <c r="CA913" s="54"/>
      <c r="CB913" s="54"/>
      <c r="CC913" s="54"/>
      <c r="CD913" s="54"/>
      <c r="CE913" s="54"/>
      <c r="CF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4"/>
      <c r="BE914" s="54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4"/>
      <c r="BQ914" s="54"/>
      <c r="BR914" s="81"/>
      <c r="BS914" s="81"/>
      <c r="BT914" s="81"/>
      <c r="BU914" s="81"/>
      <c r="BV914" s="81"/>
      <c r="BW914" s="54"/>
      <c r="BX914" s="54"/>
      <c r="BY914" s="54"/>
      <c r="BZ914" s="54"/>
      <c r="CA914" s="54"/>
      <c r="CB914" s="54"/>
      <c r="CC914" s="54"/>
      <c r="CD914" s="54"/>
      <c r="CE914" s="54"/>
      <c r="CF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4"/>
      <c r="BE915" s="54"/>
      <c r="BF915" s="54"/>
      <c r="BG915" s="54"/>
      <c r="BH915" s="54"/>
      <c r="BI915" s="54"/>
      <c r="BJ915" s="54"/>
      <c r="BK915" s="54"/>
      <c r="BL915" s="54"/>
      <c r="BM915" s="54"/>
      <c r="BN915" s="54"/>
      <c r="BO915" s="54"/>
      <c r="BP915" s="54"/>
      <c r="BQ915" s="54"/>
      <c r="BR915" s="81"/>
      <c r="BS915" s="81"/>
      <c r="BT915" s="81"/>
      <c r="BU915" s="81"/>
      <c r="BV915" s="81"/>
      <c r="BW915" s="54"/>
      <c r="BX915" s="54"/>
      <c r="BY915" s="54"/>
      <c r="BZ915" s="54"/>
      <c r="CA915" s="54"/>
      <c r="CB915" s="54"/>
      <c r="CC915" s="54"/>
      <c r="CD915" s="54"/>
      <c r="CE915" s="54"/>
      <c r="CF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4"/>
      <c r="BE916" s="54"/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4"/>
      <c r="BQ916" s="54"/>
      <c r="BR916" s="81"/>
      <c r="BS916" s="81"/>
      <c r="BT916" s="81"/>
      <c r="BU916" s="81"/>
      <c r="BV916" s="81"/>
      <c r="BW916" s="54"/>
      <c r="BX916" s="54"/>
      <c r="BY916" s="54"/>
      <c r="BZ916" s="54"/>
      <c r="CA916" s="54"/>
      <c r="CB916" s="54"/>
      <c r="CC916" s="54"/>
      <c r="CD916" s="54"/>
      <c r="CE916" s="54"/>
      <c r="CF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4"/>
      <c r="BQ917" s="54"/>
      <c r="BR917" s="81"/>
      <c r="BS917" s="81"/>
      <c r="BT917" s="81"/>
      <c r="BU917" s="81"/>
      <c r="BV917" s="81"/>
      <c r="BW917" s="54"/>
      <c r="BX917" s="54"/>
      <c r="BY917" s="54"/>
      <c r="BZ917" s="54"/>
      <c r="CA917" s="54"/>
      <c r="CB917" s="54"/>
      <c r="CC917" s="54"/>
      <c r="CD917" s="54"/>
      <c r="CE917" s="54"/>
      <c r="CF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54"/>
      <c r="BJ918" s="54"/>
      <c r="BK918" s="54"/>
      <c r="BL918" s="54"/>
      <c r="BM918" s="54"/>
      <c r="BN918" s="54"/>
      <c r="BO918" s="54"/>
      <c r="BP918" s="54"/>
      <c r="BQ918" s="54"/>
      <c r="BR918" s="81"/>
      <c r="BS918" s="81"/>
      <c r="BT918" s="81"/>
      <c r="BU918" s="81"/>
      <c r="BV918" s="81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4"/>
      <c r="BQ919" s="54"/>
      <c r="BR919" s="81"/>
      <c r="BS919" s="81"/>
      <c r="BT919" s="81"/>
      <c r="BU919" s="81"/>
      <c r="BV919" s="81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  <c r="BR920" s="81"/>
      <c r="BS920" s="81"/>
      <c r="BT920" s="81"/>
      <c r="BU920" s="81"/>
      <c r="BV920" s="81"/>
      <c r="BW920" s="54"/>
      <c r="BX920" s="54"/>
      <c r="BY920" s="54"/>
      <c r="BZ920" s="54"/>
      <c r="CA920" s="54"/>
      <c r="CB920" s="54"/>
      <c r="CC920" s="54"/>
      <c r="CD920" s="54"/>
      <c r="CE920" s="54"/>
      <c r="CF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  <c r="BI921" s="54"/>
      <c r="BJ921" s="54"/>
      <c r="BK921" s="54"/>
      <c r="BL921" s="54"/>
      <c r="BM921" s="54"/>
      <c r="BN921" s="54"/>
      <c r="BO921" s="54"/>
      <c r="BP921" s="54"/>
      <c r="BQ921" s="54"/>
      <c r="BR921" s="81"/>
      <c r="BS921" s="81"/>
      <c r="BT921" s="81"/>
      <c r="BU921" s="81"/>
      <c r="BV921" s="81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81"/>
      <c r="BS922" s="81"/>
      <c r="BT922" s="81"/>
      <c r="BU922" s="81"/>
      <c r="BV922" s="81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81"/>
      <c r="BS923" s="81"/>
      <c r="BT923" s="81"/>
      <c r="BU923" s="81"/>
      <c r="BV923" s="81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81"/>
      <c r="BS924" s="81"/>
      <c r="BT924" s="81"/>
      <c r="BU924" s="81"/>
      <c r="BV924" s="81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81"/>
      <c r="BS925" s="81"/>
      <c r="BT925" s="81"/>
      <c r="BU925" s="81"/>
      <c r="BV925" s="81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81"/>
      <c r="BS926" s="81"/>
      <c r="BT926" s="81"/>
      <c r="BU926" s="81"/>
      <c r="BV926" s="81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81"/>
      <c r="BS927" s="81"/>
      <c r="BT927" s="81"/>
      <c r="BU927" s="81"/>
      <c r="BV927" s="81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81"/>
      <c r="BS928" s="81"/>
      <c r="BT928" s="81"/>
      <c r="BU928" s="81"/>
      <c r="BV928" s="81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81"/>
      <c r="BS929" s="81"/>
      <c r="BT929" s="81"/>
      <c r="BU929" s="81"/>
      <c r="BV929" s="81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81"/>
      <c r="BS930" s="81"/>
      <c r="BT930" s="81"/>
      <c r="BU930" s="81"/>
      <c r="BV930" s="81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81"/>
      <c r="BS931" s="81"/>
      <c r="BT931" s="81"/>
      <c r="BU931" s="81"/>
      <c r="BV931" s="81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81"/>
      <c r="BS932" s="81"/>
      <c r="BT932" s="81"/>
      <c r="BU932" s="81"/>
      <c r="BV932" s="81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81"/>
      <c r="BS933" s="81"/>
      <c r="BT933" s="81"/>
      <c r="BU933" s="81"/>
      <c r="BV933" s="81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81"/>
      <c r="BS934" s="81"/>
      <c r="BT934" s="81"/>
      <c r="BU934" s="81"/>
      <c r="BV934" s="81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81"/>
      <c r="BS935" s="81"/>
      <c r="BT935" s="81"/>
      <c r="BU935" s="81"/>
      <c r="BV935" s="81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81"/>
      <c r="BS936" s="81"/>
      <c r="BT936" s="81"/>
      <c r="BU936" s="81"/>
      <c r="BV936" s="81"/>
      <c r="BW936" s="54"/>
      <c r="BX936" s="54"/>
      <c r="BY936" s="54"/>
      <c r="BZ936" s="54"/>
      <c r="CA936" s="54"/>
      <c r="CB936" s="54"/>
      <c r="CC936" s="54"/>
      <c r="CD936" s="54"/>
      <c r="CE936" s="54"/>
      <c r="CF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81"/>
      <c r="BS937" s="81"/>
      <c r="BT937" s="81"/>
      <c r="BU937" s="81"/>
      <c r="BV937" s="81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81"/>
      <c r="BS938" s="81"/>
      <c r="BT938" s="81"/>
      <c r="BU938" s="81"/>
      <c r="BV938" s="81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81"/>
      <c r="BS939" s="81"/>
      <c r="BT939" s="81"/>
      <c r="BU939" s="81"/>
      <c r="BV939" s="81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  <c r="BD940" s="54"/>
      <c r="BE940" s="54"/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4"/>
      <c r="BQ940" s="54"/>
      <c r="BR940" s="81"/>
      <c r="BS940" s="81"/>
      <c r="BT940" s="81"/>
      <c r="BU940" s="81"/>
      <c r="BV940" s="81"/>
      <c r="BW940" s="54"/>
      <c r="BX940" s="54"/>
      <c r="BY940" s="54"/>
      <c r="BZ940" s="54"/>
      <c r="CA940" s="54"/>
      <c r="CB940" s="54"/>
      <c r="CC940" s="54"/>
      <c r="CD940" s="54"/>
      <c r="CE940" s="54"/>
      <c r="CF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  <c r="BD941" s="54"/>
      <c r="BE941" s="54"/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4"/>
      <c r="BQ941" s="54"/>
      <c r="BR941" s="81"/>
      <c r="BS941" s="81"/>
      <c r="BT941" s="81"/>
      <c r="BU941" s="81"/>
      <c r="BV941" s="81"/>
      <c r="BW941" s="54"/>
      <c r="BX941" s="54"/>
      <c r="BY941" s="54"/>
      <c r="BZ941" s="54"/>
      <c r="CA941" s="54"/>
      <c r="CB941" s="54"/>
      <c r="CC941" s="54"/>
      <c r="CD941" s="54"/>
      <c r="CE941" s="54"/>
      <c r="CF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  <c r="BD942" s="54"/>
      <c r="BE942" s="54"/>
      <c r="BF942" s="54"/>
      <c r="BG942" s="54"/>
      <c r="BH942" s="54"/>
      <c r="BI942" s="54"/>
      <c r="BJ942" s="54"/>
      <c r="BK942" s="54"/>
      <c r="BL942" s="54"/>
      <c r="BM942" s="54"/>
      <c r="BN942" s="54"/>
      <c r="BO942" s="54"/>
      <c r="BP942" s="54"/>
      <c r="BQ942" s="54"/>
      <c r="BR942" s="81"/>
      <c r="BS942" s="81"/>
      <c r="BT942" s="81"/>
      <c r="BU942" s="81"/>
      <c r="BV942" s="81"/>
      <c r="BW942" s="54"/>
      <c r="BX942" s="54"/>
      <c r="BY942" s="54"/>
      <c r="BZ942" s="54"/>
      <c r="CA942" s="54"/>
      <c r="CB942" s="54"/>
      <c r="CC942" s="54"/>
      <c r="CD942" s="54"/>
      <c r="CE942" s="54"/>
      <c r="CF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  <c r="BI943" s="54"/>
      <c r="BJ943" s="54"/>
      <c r="BK943" s="54"/>
      <c r="BL943" s="54"/>
      <c r="BM943" s="54"/>
      <c r="BN943" s="54"/>
      <c r="BO943" s="54"/>
      <c r="BP943" s="54"/>
      <c r="BQ943" s="54"/>
      <c r="BR943" s="81"/>
      <c r="BS943" s="81"/>
      <c r="BT943" s="81"/>
      <c r="BU943" s="81"/>
      <c r="BV943" s="81"/>
      <c r="BW943" s="54"/>
      <c r="BX943" s="54"/>
      <c r="BY943" s="54"/>
      <c r="BZ943" s="54"/>
      <c r="CA943" s="54"/>
      <c r="CB943" s="54"/>
      <c r="CC943" s="54"/>
      <c r="CD943" s="54"/>
      <c r="CE943" s="54"/>
      <c r="CF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4"/>
      <c r="BQ944" s="54"/>
      <c r="BR944" s="81"/>
      <c r="BS944" s="81"/>
      <c r="BT944" s="81"/>
      <c r="BU944" s="81"/>
      <c r="BV944" s="81"/>
      <c r="BW944" s="54"/>
      <c r="BX944" s="54"/>
      <c r="BY944" s="54"/>
      <c r="BZ944" s="54"/>
      <c r="CA944" s="54"/>
      <c r="CB944" s="54"/>
      <c r="CC944" s="54"/>
      <c r="CD944" s="54"/>
      <c r="CE944" s="54"/>
      <c r="CF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4"/>
      <c r="BQ945" s="54"/>
      <c r="BR945" s="81"/>
      <c r="BS945" s="81"/>
      <c r="BT945" s="81"/>
      <c r="BU945" s="81"/>
      <c r="BV945" s="81"/>
      <c r="BW945" s="54"/>
      <c r="BX945" s="54"/>
      <c r="BY945" s="54"/>
      <c r="BZ945" s="54"/>
      <c r="CA945" s="54"/>
      <c r="CB945" s="54"/>
      <c r="CC945" s="54"/>
      <c r="CD945" s="54"/>
      <c r="CE945" s="54"/>
      <c r="CF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4"/>
      <c r="BQ946" s="54"/>
      <c r="BR946" s="81"/>
      <c r="BS946" s="81"/>
      <c r="BT946" s="81"/>
      <c r="BU946" s="81"/>
      <c r="BV946" s="81"/>
      <c r="BW946" s="54"/>
      <c r="BX946" s="54"/>
      <c r="BY946" s="54"/>
      <c r="BZ946" s="54"/>
      <c r="CA946" s="54"/>
      <c r="CB946" s="54"/>
      <c r="CC946" s="54"/>
      <c r="CD946" s="54"/>
      <c r="CE946" s="54"/>
      <c r="CF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81"/>
      <c r="BS947" s="81"/>
      <c r="BT947" s="81"/>
      <c r="BU947" s="81"/>
      <c r="BV947" s="81"/>
      <c r="BW947" s="54"/>
      <c r="BX947" s="54"/>
      <c r="BY947" s="54"/>
      <c r="BZ947" s="54"/>
      <c r="CA947" s="54"/>
      <c r="CB947" s="54"/>
      <c r="CC947" s="54"/>
      <c r="CD947" s="54"/>
      <c r="CE947" s="54"/>
      <c r="CF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  <c r="BR948" s="81"/>
      <c r="BS948" s="81"/>
      <c r="BT948" s="81"/>
      <c r="BU948" s="81"/>
      <c r="BV948" s="81"/>
      <c r="BW948" s="54"/>
      <c r="BX948" s="54"/>
      <c r="BY948" s="54"/>
      <c r="BZ948" s="54"/>
      <c r="CA948" s="54"/>
      <c r="CB948" s="54"/>
      <c r="CC948" s="54"/>
      <c r="CD948" s="54"/>
      <c r="CE948" s="54"/>
      <c r="CF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4"/>
      <c r="BE949" s="54"/>
      <c r="BF949" s="54"/>
      <c r="BG949" s="54"/>
      <c r="BH949" s="54"/>
      <c r="BI949" s="54"/>
      <c r="BJ949" s="54"/>
      <c r="BK949" s="54"/>
      <c r="BL949" s="54"/>
      <c r="BM949" s="54"/>
      <c r="BN949" s="54"/>
      <c r="BO949" s="54"/>
      <c r="BP949" s="54"/>
      <c r="BQ949" s="54"/>
      <c r="BR949" s="81"/>
      <c r="BS949" s="81"/>
      <c r="BT949" s="81"/>
      <c r="BU949" s="81"/>
      <c r="BV949" s="81"/>
      <c r="BW949" s="54"/>
      <c r="BX949" s="54"/>
      <c r="BY949" s="54"/>
      <c r="BZ949" s="54"/>
      <c r="CA949" s="54"/>
      <c r="CB949" s="54"/>
      <c r="CC949" s="54"/>
      <c r="CD949" s="54"/>
      <c r="CE949" s="54"/>
      <c r="CF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4"/>
      <c r="BE950" s="54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4"/>
      <c r="BQ950" s="54"/>
      <c r="BR950" s="81"/>
      <c r="BS950" s="81"/>
      <c r="BT950" s="81"/>
      <c r="BU950" s="81"/>
      <c r="BV950" s="81"/>
      <c r="BW950" s="54"/>
      <c r="BX950" s="54"/>
      <c r="BY950" s="54"/>
      <c r="BZ950" s="54"/>
      <c r="CA950" s="54"/>
      <c r="CB950" s="54"/>
      <c r="CC950" s="54"/>
      <c r="CD950" s="54"/>
      <c r="CE950" s="54"/>
      <c r="CF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4"/>
      <c r="BE951" s="54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  <c r="BR951" s="81"/>
      <c r="BS951" s="81"/>
      <c r="BT951" s="81"/>
      <c r="BU951" s="81"/>
      <c r="BV951" s="81"/>
      <c r="BW951" s="54"/>
      <c r="BX951" s="54"/>
      <c r="BY951" s="54"/>
      <c r="BZ951" s="54"/>
      <c r="CA951" s="54"/>
      <c r="CB951" s="54"/>
      <c r="CC951" s="54"/>
      <c r="CD951" s="54"/>
      <c r="CE951" s="54"/>
      <c r="CF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4"/>
      <c r="BQ952" s="54"/>
      <c r="BR952" s="81"/>
      <c r="BS952" s="81"/>
      <c r="BT952" s="81"/>
      <c r="BU952" s="81"/>
      <c r="BV952" s="81"/>
      <c r="BW952" s="54"/>
      <c r="BX952" s="54"/>
      <c r="BY952" s="54"/>
      <c r="BZ952" s="54"/>
      <c r="CA952" s="54"/>
      <c r="CB952" s="54"/>
      <c r="CC952" s="54"/>
      <c r="CD952" s="54"/>
      <c r="CE952" s="54"/>
      <c r="CF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81"/>
      <c r="BS953" s="81"/>
      <c r="BT953" s="81"/>
      <c r="BU953" s="81"/>
      <c r="BV953" s="81"/>
      <c r="BW953" s="54"/>
      <c r="BX953" s="54"/>
      <c r="BY953" s="54"/>
      <c r="BZ953" s="54"/>
      <c r="CA953" s="54"/>
      <c r="CB953" s="54"/>
      <c r="CC953" s="54"/>
      <c r="CD953" s="54"/>
      <c r="CE953" s="54"/>
      <c r="CF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81"/>
      <c r="BS954" s="81"/>
      <c r="BT954" s="81"/>
      <c r="BU954" s="81"/>
      <c r="BV954" s="81"/>
      <c r="BW954" s="54"/>
      <c r="BX954" s="54"/>
      <c r="BY954" s="54"/>
      <c r="BZ954" s="54"/>
      <c r="CA954" s="54"/>
      <c r="CB954" s="54"/>
      <c r="CC954" s="54"/>
      <c r="CD954" s="54"/>
      <c r="CE954" s="54"/>
      <c r="CF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  <c r="BR955" s="81"/>
      <c r="BS955" s="81"/>
      <c r="BT955" s="81"/>
      <c r="BU955" s="81"/>
      <c r="BV955" s="81"/>
      <c r="BW955" s="54"/>
      <c r="BX955" s="54"/>
      <c r="BY955" s="54"/>
      <c r="BZ955" s="54"/>
      <c r="CA955" s="54"/>
      <c r="CB955" s="54"/>
      <c r="CC955" s="54"/>
      <c r="CD955" s="54"/>
      <c r="CE955" s="54"/>
      <c r="CF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  <c r="BR956" s="81"/>
      <c r="BS956" s="81"/>
      <c r="BT956" s="81"/>
      <c r="BU956" s="81"/>
      <c r="BV956" s="81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54"/>
      <c r="BO957" s="54"/>
      <c r="BP957" s="54"/>
      <c r="BQ957" s="54"/>
      <c r="BR957" s="81"/>
      <c r="BS957" s="81"/>
      <c r="BT957" s="81"/>
      <c r="BU957" s="81"/>
      <c r="BV957" s="81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  <c r="BR958" s="81"/>
      <c r="BS958" s="81"/>
      <c r="BT958" s="81"/>
      <c r="BU958" s="81"/>
      <c r="BV958" s="81"/>
      <c r="BW958" s="54"/>
      <c r="BX958" s="54"/>
      <c r="BY958" s="54"/>
      <c r="BZ958" s="54"/>
      <c r="CA958" s="54"/>
      <c r="CB958" s="54"/>
      <c r="CC958" s="54"/>
      <c r="CD958" s="54"/>
      <c r="CE958" s="54"/>
      <c r="CF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81"/>
      <c r="BS959" s="81"/>
      <c r="BT959" s="81"/>
      <c r="BU959" s="81"/>
      <c r="BV959" s="81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81"/>
      <c r="BS960" s="81"/>
      <c r="BT960" s="81"/>
      <c r="BU960" s="81"/>
      <c r="BV960" s="81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81"/>
      <c r="BS961" s="81"/>
      <c r="BT961" s="81"/>
      <c r="BU961" s="81"/>
      <c r="BV961" s="81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81"/>
      <c r="BS962" s="81"/>
      <c r="BT962" s="81"/>
      <c r="BU962" s="81"/>
      <c r="BV962" s="81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81"/>
      <c r="BS963" s="81"/>
      <c r="BT963" s="81"/>
      <c r="BU963" s="81"/>
      <c r="BV963" s="81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81"/>
      <c r="BS964" s="81"/>
      <c r="BT964" s="81"/>
      <c r="BU964" s="81"/>
      <c r="BV964" s="81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81"/>
      <c r="BS965" s="81"/>
      <c r="BT965" s="81"/>
      <c r="BU965" s="81"/>
      <c r="BV965" s="81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81"/>
      <c r="BS966" s="81"/>
      <c r="BT966" s="81"/>
      <c r="BU966" s="81"/>
      <c r="BV966" s="81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81"/>
      <c r="BS967" s="81"/>
      <c r="BT967" s="81"/>
      <c r="BU967" s="81"/>
      <c r="BV967" s="81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81"/>
      <c r="BS968" s="81"/>
      <c r="BT968" s="81"/>
      <c r="BU968" s="81"/>
      <c r="BV968" s="81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81"/>
      <c r="BS969" s="81"/>
      <c r="BT969" s="81"/>
      <c r="BU969" s="81"/>
      <c r="BV969" s="81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81"/>
      <c r="BS970" s="81"/>
      <c r="BT970" s="81"/>
      <c r="BU970" s="81"/>
      <c r="BV970" s="81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81"/>
      <c r="BS971" s="81"/>
      <c r="BT971" s="81"/>
      <c r="BU971" s="81"/>
      <c r="BV971" s="81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81"/>
      <c r="BS972" s="81"/>
      <c r="BT972" s="81"/>
      <c r="BU972" s="81"/>
      <c r="BV972" s="81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81"/>
      <c r="BS973" s="81"/>
      <c r="BT973" s="81"/>
      <c r="BU973" s="81"/>
      <c r="BV973" s="81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81"/>
      <c r="BS974" s="81"/>
      <c r="BT974" s="81"/>
      <c r="BU974" s="81"/>
      <c r="BV974" s="81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81"/>
      <c r="BS975" s="81"/>
      <c r="BT975" s="81"/>
      <c r="BU975" s="81"/>
      <c r="BV975" s="81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81"/>
      <c r="BS976" s="81"/>
      <c r="BT976" s="81"/>
      <c r="BU976" s="81"/>
      <c r="BV976" s="81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81"/>
      <c r="BS977" s="81"/>
      <c r="BT977" s="81"/>
      <c r="BU977" s="81"/>
      <c r="BV977" s="81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81"/>
      <c r="BS978" s="81"/>
      <c r="BT978" s="81"/>
      <c r="BU978" s="81"/>
      <c r="BV978" s="81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81"/>
      <c r="BS979" s="81"/>
      <c r="BT979" s="81"/>
      <c r="BU979" s="81"/>
      <c r="BV979" s="81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  <c r="BD980" s="54"/>
      <c r="BE980" s="54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4"/>
      <c r="BQ980" s="54"/>
      <c r="BR980" s="81"/>
      <c r="BS980" s="81"/>
      <c r="BT980" s="81"/>
      <c r="BU980" s="81"/>
      <c r="BV980" s="81"/>
      <c r="BW980" s="54"/>
      <c r="BX980" s="54"/>
      <c r="BY980" s="54"/>
      <c r="BZ980" s="54"/>
      <c r="CA980" s="54"/>
      <c r="CB980" s="54"/>
      <c r="CC980" s="54"/>
      <c r="CD980" s="54"/>
      <c r="CE980" s="54"/>
      <c r="CF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  <c r="BI981" s="54"/>
      <c r="BJ981" s="54"/>
      <c r="BK981" s="54"/>
      <c r="BL981" s="54"/>
      <c r="BM981" s="54"/>
      <c r="BN981" s="54"/>
      <c r="BO981" s="54"/>
      <c r="BP981" s="54"/>
      <c r="BQ981" s="54"/>
      <c r="BR981" s="81"/>
      <c r="BS981" s="81"/>
      <c r="BT981" s="81"/>
      <c r="BU981" s="81"/>
      <c r="BV981" s="81"/>
      <c r="BW981" s="54"/>
      <c r="BX981" s="54"/>
      <c r="BY981" s="54"/>
      <c r="BZ981" s="54"/>
      <c r="CA981" s="54"/>
      <c r="CB981" s="54"/>
      <c r="CC981" s="54"/>
      <c r="CD981" s="54"/>
      <c r="CE981" s="54"/>
      <c r="CF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4"/>
      <c r="BQ982" s="54"/>
      <c r="BR982" s="81"/>
      <c r="BS982" s="81"/>
      <c r="BT982" s="81"/>
      <c r="BU982" s="81"/>
      <c r="BV982" s="81"/>
      <c r="BW982" s="54"/>
      <c r="BX982" s="54"/>
      <c r="BY982" s="54"/>
      <c r="BZ982" s="54"/>
      <c r="CA982" s="54"/>
      <c r="CB982" s="54"/>
      <c r="CC982" s="54"/>
      <c r="CD982" s="54"/>
      <c r="CE982" s="54"/>
      <c r="CF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  <c r="BR983" s="81"/>
      <c r="BS983" s="81"/>
      <c r="BT983" s="81"/>
      <c r="BU983" s="81"/>
      <c r="BV983" s="81"/>
      <c r="BW983" s="54"/>
      <c r="BX983" s="54"/>
      <c r="BY983" s="54"/>
      <c r="BZ983" s="54"/>
      <c r="CA983" s="54"/>
      <c r="CB983" s="54"/>
      <c r="CC983" s="54"/>
      <c r="CD983" s="54"/>
      <c r="CE983" s="54"/>
      <c r="CF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54"/>
      <c r="BP984" s="54"/>
      <c r="BQ984" s="54"/>
      <c r="BR984" s="81"/>
      <c r="BS984" s="81"/>
      <c r="BT984" s="81"/>
      <c r="BU984" s="81"/>
      <c r="BV984" s="81"/>
      <c r="BW984" s="54"/>
      <c r="BX984" s="54"/>
      <c r="BY984" s="54"/>
      <c r="BZ984" s="54"/>
      <c r="CA984" s="54"/>
      <c r="CB984" s="54"/>
      <c r="CC984" s="54"/>
      <c r="CD984" s="54"/>
      <c r="CE984" s="54"/>
      <c r="CF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  <c r="BI985" s="54"/>
      <c r="BJ985" s="54"/>
      <c r="BK985" s="54"/>
      <c r="BL985" s="54"/>
      <c r="BM985" s="54"/>
      <c r="BN985" s="54"/>
      <c r="BO985" s="54"/>
      <c r="BP985" s="54"/>
      <c r="BQ985" s="54"/>
      <c r="BR985" s="81"/>
      <c r="BS985" s="81"/>
      <c r="BT985" s="81"/>
      <c r="BU985" s="81"/>
      <c r="BV985" s="81"/>
      <c r="BW985" s="54"/>
      <c r="BX985" s="54"/>
      <c r="BY985" s="54"/>
      <c r="BZ985" s="54"/>
      <c r="CA985" s="54"/>
      <c r="CB985" s="54"/>
      <c r="CC985" s="54"/>
      <c r="CD985" s="54"/>
      <c r="CE985" s="54"/>
      <c r="CF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4"/>
      <c r="BQ986" s="54"/>
      <c r="BR986" s="81"/>
      <c r="BS986" s="81"/>
      <c r="BT986" s="81"/>
      <c r="BU986" s="81"/>
      <c r="BV986" s="81"/>
      <c r="BW986" s="54"/>
      <c r="BX986" s="54"/>
      <c r="BY986" s="54"/>
      <c r="BZ986" s="54"/>
      <c r="CA986" s="54"/>
      <c r="CB986" s="54"/>
      <c r="CC986" s="54"/>
      <c r="CD986" s="54"/>
      <c r="CE986" s="54"/>
      <c r="CF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4"/>
      <c r="BE987" s="54"/>
      <c r="BF987" s="54"/>
      <c r="BG987" s="54"/>
      <c r="BH987" s="54"/>
      <c r="BI987" s="54"/>
      <c r="BJ987" s="54"/>
      <c r="BK987" s="54"/>
      <c r="BL987" s="54"/>
      <c r="BM987" s="54"/>
      <c r="BN987" s="54"/>
      <c r="BO987" s="54"/>
      <c r="BP987" s="54"/>
      <c r="BQ987" s="54"/>
      <c r="BR987" s="81"/>
      <c r="BS987" s="81"/>
      <c r="BT987" s="81"/>
      <c r="BU987" s="81"/>
      <c r="BV987" s="81"/>
      <c r="BW987" s="54"/>
      <c r="BX987" s="54"/>
      <c r="BY987" s="54"/>
      <c r="BZ987" s="54"/>
      <c r="CA987" s="54"/>
      <c r="CB987" s="54"/>
      <c r="CC987" s="54"/>
      <c r="CD987" s="54"/>
      <c r="CE987" s="54"/>
      <c r="CF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4"/>
      <c r="BQ988" s="54"/>
      <c r="BR988" s="81"/>
      <c r="BS988" s="81"/>
      <c r="BT988" s="81"/>
      <c r="BU988" s="81"/>
      <c r="BV988" s="81"/>
      <c r="BW988" s="54"/>
      <c r="BX988" s="54"/>
      <c r="BY988" s="54"/>
      <c r="BZ988" s="54"/>
      <c r="CA988" s="54"/>
      <c r="CB988" s="54"/>
      <c r="CC988" s="54"/>
      <c r="CD988" s="54"/>
      <c r="CE988" s="54"/>
      <c r="CF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4"/>
      <c r="BE989" s="54"/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4"/>
      <c r="BQ989" s="54"/>
      <c r="BR989" s="81"/>
      <c r="BS989" s="81"/>
      <c r="BT989" s="81"/>
      <c r="BU989" s="81"/>
      <c r="BV989" s="81"/>
      <c r="BW989" s="54"/>
      <c r="BX989" s="54"/>
      <c r="BY989" s="54"/>
      <c r="BZ989" s="54"/>
      <c r="CA989" s="54"/>
      <c r="CB989" s="54"/>
      <c r="CC989" s="54"/>
      <c r="CD989" s="54"/>
      <c r="CE989" s="54"/>
      <c r="CF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4"/>
      <c r="BE990" s="54"/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4"/>
      <c r="BQ990" s="54"/>
      <c r="BR990" s="81"/>
      <c r="BS990" s="81"/>
      <c r="BT990" s="81"/>
      <c r="BU990" s="81"/>
      <c r="BV990" s="81"/>
      <c r="BW990" s="54"/>
      <c r="BX990" s="54"/>
      <c r="BY990" s="54"/>
      <c r="BZ990" s="54"/>
      <c r="CA990" s="54"/>
      <c r="CB990" s="54"/>
      <c r="CC990" s="54"/>
      <c r="CD990" s="54"/>
      <c r="CE990" s="54"/>
      <c r="CF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4"/>
      <c r="BE991" s="54"/>
      <c r="BF991" s="54"/>
      <c r="BG991" s="54"/>
      <c r="BH991" s="54"/>
      <c r="BI991" s="54"/>
      <c r="BJ991" s="54"/>
      <c r="BK991" s="54"/>
      <c r="BL991" s="54"/>
      <c r="BM991" s="54"/>
      <c r="BN991" s="54"/>
      <c r="BO991" s="54"/>
      <c r="BP991" s="54"/>
      <c r="BQ991" s="54"/>
      <c r="BR991" s="81"/>
      <c r="BS991" s="81"/>
      <c r="BT991" s="81"/>
      <c r="BU991" s="81"/>
      <c r="BV991" s="81"/>
      <c r="BW991" s="54"/>
      <c r="BX991" s="54"/>
      <c r="BY991" s="54"/>
      <c r="BZ991" s="54"/>
      <c r="CA991" s="54"/>
      <c r="CB991" s="54"/>
      <c r="CC991" s="54"/>
      <c r="CD991" s="54"/>
      <c r="CE991" s="54"/>
      <c r="CF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4"/>
      <c r="BP992" s="54"/>
      <c r="BQ992" s="54"/>
      <c r="BR992" s="81"/>
      <c r="BS992" s="81"/>
      <c r="BT992" s="81"/>
      <c r="BU992" s="81"/>
      <c r="BV992" s="81"/>
      <c r="BW992" s="54"/>
      <c r="BX992" s="54"/>
      <c r="BY992" s="54"/>
      <c r="BZ992" s="54"/>
      <c r="CA992" s="54"/>
      <c r="CB992" s="54"/>
      <c r="CC992" s="54"/>
      <c r="CD992" s="54"/>
      <c r="CE992" s="54"/>
      <c r="CF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4"/>
      <c r="BE993" s="54"/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4"/>
      <c r="BQ993" s="54"/>
      <c r="BR993" s="81"/>
      <c r="BS993" s="81"/>
      <c r="BT993" s="81"/>
      <c r="BU993" s="81"/>
      <c r="BV993" s="81"/>
      <c r="BW993" s="54"/>
      <c r="BX993" s="54"/>
      <c r="BY993" s="54"/>
      <c r="BZ993" s="54"/>
      <c r="CA993" s="54"/>
      <c r="CB993" s="54"/>
      <c r="CC993" s="54"/>
      <c r="CD993" s="54"/>
      <c r="CE993" s="54"/>
      <c r="CF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54"/>
      <c r="BJ994" s="54"/>
      <c r="BK994" s="54"/>
      <c r="BL994" s="54"/>
      <c r="BM994" s="54"/>
      <c r="BN994" s="54"/>
      <c r="BO994" s="54"/>
      <c r="BP994" s="54"/>
      <c r="BQ994" s="54"/>
      <c r="BR994" s="81"/>
      <c r="BS994" s="81"/>
      <c r="BT994" s="81"/>
      <c r="BU994" s="81"/>
      <c r="BV994" s="81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54"/>
      <c r="BJ995" s="54"/>
      <c r="BK995" s="54"/>
      <c r="BL995" s="54"/>
      <c r="BM995" s="54"/>
      <c r="BN995" s="54"/>
      <c r="BO995" s="54"/>
      <c r="BP995" s="54"/>
      <c r="BQ995" s="54"/>
      <c r="BR995" s="81"/>
      <c r="BS995" s="81"/>
      <c r="BT995" s="81"/>
      <c r="BU995" s="81"/>
      <c r="BV995" s="81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  <c r="BD996" s="54"/>
      <c r="BE996" s="54"/>
      <c r="BF996" s="54"/>
      <c r="BG996" s="54"/>
      <c r="BH996" s="54"/>
      <c r="BI996" s="54"/>
      <c r="BJ996" s="54"/>
      <c r="BK996" s="54"/>
      <c r="BL996" s="54"/>
      <c r="BM996" s="54"/>
      <c r="BN996" s="54"/>
      <c r="BO996" s="54"/>
      <c r="BP996" s="54"/>
      <c r="BQ996" s="54"/>
      <c r="BR996" s="81"/>
      <c r="BS996" s="81"/>
      <c r="BT996" s="81"/>
      <c r="BU996" s="81"/>
      <c r="BV996" s="81"/>
      <c r="BW996" s="54"/>
      <c r="BX996" s="54"/>
      <c r="BY996" s="54"/>
      <c r="BZ996" s="54"/>
      <c r="CA996" s="54"/>
      <c r="CB996" s="54"/>
      <c r="CC996" s="54"/>
      <c r="CD996" s="54"/>
      <c r="CE996" s="54"/>
      <c r="CF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  <c r="BD997" s="54"/>
      <c r="BE997" s="54"/>
      <c r="BF997" s="54"/>
      <c r="BG997" s="54"/>
      <c r="BH997" s="54"/>
      <c r="BI997" s="54"/>
      <c r="BJ997" s="54"/>
      <c r="BK997" s="54"/>
      <c r="BL997" s="54"/>
      <c r="BM997" s="54"/>
      <c r="BN997" s="54"/>
      <c r="BO997" s="54"/>
      <c r="BP997" s="54"/>
      <c r="BQ997" s="54"/>
      <c r="BR997" s="81"/>
      <c r="BS997" s="81"/>
      <c r="BT997" s="81"/>
      <c r="BU997" s="81"/>
      <c r="BV997" s="81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81"/>
      <c r="BS998" s="81"/>
      <c r="BT998" s="81"/>
      <c r="BU998" s="81"/>
      <c r="BV998" s="81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81"/>
      <c r="BS999" s="81"/>
      <c r="BT999" s="81"/>
      <c r="BU999" s="81"/>
      <c r="BV999" s="81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81"/>
      <c r="BS1000" s="81"/>
      <c r="BT1000" s="81"/>
      <c r="BU1000" s="81"/>
      <c r="BV1000" s="81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</row>
  </sheetData>
  <mergeCells count="62">
    <mergeCell ref="BA9:BA10"/>
    <mergeCell ref="BB9:BB10"/>
    <mergeCell ref="BC9:BC10"/>
    <mergeCell ref="AO11:AO12"/>
    <mergeCell ref="AP11:AP12"/>
    <mergeCell ref="AQ11:AQ12"/>
    <mergeCell ref="AR11:AR12"/>
    <mergeCell ref="AS11:AS12"/>
    <mergeCell ref="AT11:AT12"/>
    <mergeCell ref="AW29:BC31"/>
    <mergeCell ref="AL34:AT36"/>
    <mergeCell ref="BA34:BA35"/>
    <mergeCell ref="BB34:BB35"/>
    <mergeCell ref="BC34:BC35"/>
    <mergeCell ref="T2:Z4"/>
    <mergeCell ref="AC2:AI4"/>
    <mergeCell ref="AL2:AT4"/>
    <mergeCell ref="AW2:BC4"/>
    <mergeCell ref="BF2:BL4"/>
    <mergeCell ref="BO2:BV4"/>
    <mergeCell ref="BY2:CF4"/>
    <mergeCell ref="BJ12:BJ13"/>
    <mergeCell ref="BK12:BK13"/>
    <mergeCell ref="BL12:BL13"/>
    <mergeCell ref="BR13:BR14"/>
    <mergeCell ref="BS13:BS14"/>
    <mergeCell ref="BT13:BT14"/>
    <mergeCell ref="BU13:BU14"/>
    <mergeCell ref="BI28:BJ28"/>
    <mergeCell ref="CE13:CE14"/>
    <mergeCell ref="CF13:CF14"/>
    <mergeCell ref="BV13:BV14"/>
    <mergeCell ref="BY13:BY14"/>
    <mergeCell ref="BZ13:BZ14"/>
    <mergeCell ref="CA13:CA14"/>
    <mergeCell ref="CB13:CB14"/>
    <mergeCell ref="CC13:CC14"/>
    <mergeCell ref="CD13:CD14"/>
    <mergeCell ref="B14:H20"/>
    <mergeCell ref="C23:G25"/>
    <mergeCell ref="T25:Z27"/>
    <mergeCell ref="C28:G32"/>
    <mergeCell ref="C33:G35"/>
    <mergeCell ref="K34:P35"/>
    <mergeCell ref="Q34:Q35"/>
    <mergeCell ref="K2:Q4"/>
    <mergeCell ref="D4:H5"/>
    <mergeCell ref="AG8:AG9"/>
    <mergeCell ref="AH8:AH9"/>
    <mergeCell ref="AI8:AI9"/>
    <mergeCell ref="K9:P10"/>
    <mergeCell ref="Q9:Q10"/>
    <mergeCell ref="C43:G43"/>
    <mergeCell ref="C44:G44"/>
    <mergeCell ref="C47:G47"/>
    <mergeCell ref="AO40:AO41"/>
    <mergeCell ref="AQ40:AQ41"/>
    <mergeCell ref="AS40:AS41"/>
    <mergeCell ref="C42:G42"/>
    <mergeCell ref="BA42:BA43"/>
    <mergeCell ref="BB42:BB43"/>
    <mergeCell ref="BC42:BC43"/>
  </mergeCells>
  <printOptions horizontalCentered="1" verticalCentered="1"/>
  <pageMargins bottom="0.0" footer="0.0" header="0.0" left="0.0" right="0.0" top="0.0"/>
  <pageSetup paperSize="9" orientation="portrait"/>
  <colBreaks count="8" manualBreakCount="8">
    <brk id="65" man="1"/>
    <brk id="18" man="1"/>
    <brk id="36" man="1"/>
    <brk id="56" man="1"/>
    <brk id="9" man="1"/>
    <brk id="75" man="1"/>
    <brk id="27" man="1"/>
    <brk id="47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8.57"/>
    <col customWidth="1" min="3" max="3" width="17.57"/>
  </cols>
  <sheetData>
    <row r="1">
      <c r="A1" s="305" t="s">
        <v>282</v>
      </c>
      <c r="B1" s="305" t="s">
        <v>283</v>
      </c>
      <c r="C1" s="305" t="s">
        <v>284</v>
      </c>
      <c r="D1" s="305" t="s">
        <v>285</v>
      </c>
      <c r="E1" s="306"/>
    </row>
    <row r="2">
      <c r="A2" s="307" t="s">
        <v>286</v>
      </c>
      <c r="B2" s="308"/>
      <c r="C2" s="308"/>
      <c r="D2" s="308"/>
      <c r="E2" s="309"/>
    </row>
    <row r="3">
      <c r="A3" s="310" t="s">
        <v>287</v>
      </c>
      <c r="B3" s="310">
        <v>6.0</v>
      </c>
      <c r="C3" s="310">
        <v>250.0</v>
      </c>
      <c r="D3" s="311">
        <f t="shared" ref="D3:D7" si="1">B3*C3</f>
        <v>1500</v>
      </c>
      <c r="E3" s="311"/>
    </row>
    <row r="4">
      <c r="A4" s="312" t="s">
        <v>288</v>
      </c>
      <c r="B4" s="312">
        <v>6.0</v>
      </c>
      <c r="C4" s="312">
        <v>150.0</v>
      </c>
      <c r="D4" s="311">
        <f t="shared" si="1"/>
        <v>900</v>
      </c>
      <c r="E4" s="313"/>
    </row>
    <row r="5">
      <c r="A5" s="312" t="s">
        <v>289</v>
      </c>
      <c r="B5" s="312">
        <v>1.0</v>
      </c>
      <c r="C5" s="312">
        <v>300.0</v>
      </c>
      <c r="D5" s="311">
        <f t="shared" si="1"/>
        <v>300</v>
      </c>
      <c r="E5" s="313"/>
    </row>
    <row r="6">
      <c r="A6" s="312" t="s">
        <v>290</v>
      </c>
      <c r="B6" s="312">
        <v>1.0</v>
      </c>
      <c r="C6" s="312">
        <v>400.0</v>
      </c>
      <c r="D6" s="311">
        <f t="shared" si="1"/>
        <v>400</v>
      </c>
      <c r="E6" s="313"/>
    </row>
    <row r="7">
      <c r="A7" s="313"/>
      <c r="B7" s="313"/>
      <c r="C7" s="313"/>
      <c r="D7" s="311">
        <f t="shared" si="1"/>
        <v>0</v>
      </c>
      <c r="E7" s="313"/>
    </row>
    <row r="8">
      <c r="A8" s="307" t="s">
        <v>291</v>
      </c>
      <c r="B8" s="308"/>
      <c r="C8" s="308"/>
      <c r="D8" s="308"/>
      <c r="E8" s="309"/>
    </row>
    <row r="9">
      <c r="A9" s="313"/>
      <c r="B9" s="313"/>
      <c r="C9" s="313"/>
      <c r="D9" s="311">
        <f t="shared" ref="D9:D24" si="2">B9*C9</f>
        <v>0</v>
      </c>
      <c r="E9" s="313"/>
    </row>
    <row r="10">
      <c r="A10" s="313"/>
      <c r="B10" s="313"/>
      <c r="C10" s="313"/>
      <c r="D10" s="311">
        <f t="shared" si="2"/>
        <v>0</v>
      </c>
      <c r="E10" s="313"/>
    </row>
    <row r="11">
      <c r="A11" s="313"/>
      <c r="B11" s="313"/>
      <c r="C11" s="313"/>
      <c r="D11" s="311">
        <f t="shared" si="2"/>
        <v>0</v>
      </c>
      <c r="E11" s="313"/>
    </row>
    <row r="12">
      <c r="A12" s="313"/>
      <c r="B12" s="313"/>
      <c r="C12" s="313"/>
      <c r="D12" s="311">
        <f t="shared" si="2"/>
        <v>0</v>
      </c>
      <c r="E12" s="313"/>
    </row>
    <row r="13">
      <c r="A13" s="313"/>
      <c r="B13" s="313"/>
      <c r="C13" s="313"/>
      <c r="D13" s="311">
        <f t="shared" si="2"/>
        <v>0</v>
      </c>
      <c r="E13" s="313"/>
    </row>
    <row r="14">
      <c r="A14" s="313"/>
      <c r="B14" s="313"/>
      <c r="C14" s="313"/>
      <c r="D14" s="311">
        <f t="shared" si="2"/>
        <v>0</v>
      </c>
      <c r="E14" s="313"/>
    </row>
    <row r="15">
      <c r="A15" s="313"/>
      <c r="B15" s="313"/>
      <c r="C15" s="313"/>
      <c r="D15" s="311">
        <f t="shared" si="2"/>
        <v>0</v>
      </c>
      <c r="E15" s="313"/>
    </row>
    <row r="16">
      <c r="A16" s="313"/>
      <c r="B16" s="313"/>
      <c r="C16" s="313"/>
      <c r="D16" s="311">
        <f t="shared" si="2"/>
        <v>0</v>
      </c>
      <c r="E16" s="313"/>
    </row>
    <row r="17">
      <c r="A17" s="313"/>
      <c r="B17" s="313"/>
      <c r="C17" s="313"/>
      <c r="D17" s="311">
        <f t="shared" si="2"/>
        <v>0</v>
      </c>
      <c r="E17" s="313"/>
    </row>
    <row r="18">
      <c r="A18" s="313"/>
      <c r="B18" s="313"/>
      <c r="C18" s="313"/>
      <c r="D18" s="311">
        <f t="shared" si="2"/>
        <v>0</v>
      </c>
      <c r="E18" s="313"/>
    </row>
    <row r="19">
      <c r="A19" s="313"/>
      <c r="B19" s="313"/>
      <c r="C19" s="313"/>
      <c r="D19" s="311">
        <f t="shared" si="2"/>
        <v>0</v>
      </c>
      <c r="E19" s="313"/>
    </row>
    <row r="20">
      <c r="A20" s="313"/>
      <c r="B20" s="313"/>
      <c r="C20" s="313"/>
      <c r="D20" s="311">
        <f t="shared" si="2"/>
        <v>0</v>
      </c>
      <c r="E20" s="313"/>
    </row>
    <row r="21">
      <c r="A21" s="313"/>
      <c r="B21" s="313"/>
      <c r="C21" s="313"/>
      <c r="D21" s="311">
        <f t="shared" si="2"/>
        <v>0</v>
      </c>
      <c r="E21" s="313"/>
    </row>
    <row r="22">
      <c r="A22" s="313"/>
      <c r="B22" s="313"/>
      <c r="C22" s="313"/>
      <c r="D22" s="311">
        <f t="shared" si="2"/>
        <v>0</v>
      </c>
      <c r="E22" s="313"/>
    </row>
    <row r="23">
      <c r="A23" s="313"/>
      <c r="B23" s="313"/>
      <c r="C23" s="313"/>
      <c r="D23" s="311">
        <f t="shared" si="2"/>
        <v>0</v>
      </c>
      <c r="E23" s="313"/>
    </row>
    <row r="24">
      <c r="A24" s="313"/>
      <c r="B24" s="313"/>
      <c r="C24" s="313"/>
      <c r="D24" s="311">
        <f t="shared" si="2"/>
        <v>0</v>
      </c>
      <c r="E24" s="3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2016-07-10T11:43:10Z</dcterms:created>
  <dc:creator>Administrateur</dc:creator>
</cp:coreProperties>
</file>